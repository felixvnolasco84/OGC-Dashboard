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2a9e903b2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uras" sheetId="1" r:id="Rdfbbc4159bee49d9"/>
    <x:sheet xmlns:r="http://schemas.openxmlformats.org/officeDocument/2006/relationships" name="Conceptos" sheetId="2" r:id="R12d4a172085a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#,##0.00;(&quot;$&quot;#,##0.00);&quot;$&quot;0.00"/>
    <x:numFmt numFmtId="202" formatCode="dd/mm/yyyy"/>
  </x:numFmts>
  <x:fonts count="9">
    <x:font>
      <x:sz val="11"/>
      <x:name val="Carlito"/>
    </x:font>
    <x:font>
      <x:sz val="10"/>
      <x:color rgb="FF182B40"/>
      <x:name val="Arial"/>
    </x:font>
    <x:font>
      <x:b/>
      <x:sz val="16"/>
      <x:color rgb="FF24364B"/>
      <x:name val="Arial"/>
    </x:font>
    <x:font>
      <x:sz val="10"/>
      <x:color rgb="FF59677A"/>
      <x:name val="Arial"/>
    </x:font>
    <x:font>
      <x:b/>
      <x:sz val="10"/>
      <x:color rgb="FFFFFFFF"/>
      <x:name val="Arial"/>
    </x:font>
    <x:font>
      <x:b/>
      <x:sz val="10"/>
      <x:color rgb="FF182B40"/>
      <x:name val="Arial"/>
    </x:font>
    <x:font>
      <x:b/>
      <x:sz val="10"/>
      <x:color rgb="FF24364B"/>
      <x:name val="Arial"/>
    </x:font>
    <x:font>
      <x:i/>
      <x:sz val="10"/>
      <x:color rgb="FF59677A"/>
      <x:name val="Arial"/>
    </x:font>
    <x:font>
      <x:sz val="10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EEF2F6"/>
      </x:patternFill>
    </x:fill>
    <x:fill>
      <x:patternFill patternType="solid">
        <x:fgColor rgb="FFFFF8E5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9E2EB"/>
      </x:bottom>
      <x:diagonal/>
    </x:border>
    <x:border>
      <x:left/>
      <x:right/>
      <x:top style="thin">
        <x:color rgb="FF24364B"/>
      </x:top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3" borderId="2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3" borderId="2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5" fillId="3" borderId="2" xfId="0" applyNumberFormat="1" applyFont="1" applyFill="1" applyBorder="1" applyAlignment="1">
      <x:alignment horizontal="right" vertical="center"/>
    </x:xf>
    <x:xf numFmtId="201" fontId="5" fillId="3" borderId="2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1">
    <x:dxf>
      <x:font>
        <x:color rgb="FF1F5731"/>
      </x:font>
      <x:fill>
        <x:patternFill patternType="solid">
          <x:bgColor rgb="FFE8F2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fa3f9c8a474902" /><Relationship Type="http://schemas.openxmlformats.org/officeDocument/2006/relationships/theme" Target="/xl/theme/theme1.xml" Id="Rb72e4811f1774a64" /><Relationship Type="http://schemas.openxmlformats.org/officeDocument/2006/relationships/sharedStrings" Target="/xl/sharedStrings.xml" Id="R8c2d1d38b3c247ef" /><Relationship Type="http://schemas.openxmlformats.org/officeDocument/2006/relationships/worksheet" Target="/xl/worksheets/sheet1.xml" Id="Rdfbbc4159bee49d9" /><Relationship Type="http://schemas.openxmlformats.org/officeDocument/2006/relationships/worksheet" Target="/xl/worksheets/sheet2.xml" Id="R12d4a172085a4e7b" /></Relationships>
</file>

<file path=xl/tables/table1.xml><?xml version="1.0" encoding="utf-8"?>
<x:table xmlns:x="http://schemas.openxmlformats.org/spreadsheetml/2006/main" id="1" name="FacturasPorRevisar" displayName="FacturasPorRevisar" ref="A18:L81" headerRowCount="1" totalsRowCount="0" totalsRowShown="0">
  <x:autoFilter ref="A18:L81"/>
  <x:tableColumns count="12">
    <x:tableColumn id="1" name="ID revisión"/>
    <x:tableColumn id="2" name="Proyecto"/>
    <x:tableColumn id="3" name="Fecha"/>
    <x:tableColumn id="4" name="Factura"/>
    <x:tableColumn id="5" name="Proveedor"/>
    <x:tableColumn id="6" name="Importe MXN"/>
    <x:tableColumn id="7" name="Tipo de pago"/>
    <x:tableColumn id="8" name="Partidas"/>
    <x:tableColumn id="9" name="Conceptos"/>
    <x:tableColumn id="10" name="Filas de origen"/>
    <x:tableColumn id="11" name="Estado"/>
    <x:tableColumn id="12" name="Comentari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ceptosFuente" displayName="ConceptosFuente" ref="A6:N187" headerRowCount="1" totalsRowCount="0" totalsRowShown="0">
  <x:autoFilter ref="A6:N187"/>
  <x:tableColumns count="14">
    <x:tableColumn id="1" name="ID revisión"/>
    <x:tableColumn id="2" name="Administración"/>
    <x:tableColumn id="3" name="Partida"/>
    <x:tableColumn id="4" name="Familia"/>
    <x:tableColumn id="5" name="Subpartida"/>
    <x:tableColumn id="6" name="Monto MXN"/>
    <x:tableColumn id="7" name="Fecha"/>
    <x:tableColumn id="8" name="Proveedor"/>
    <x:tableColumn id="9" name="Factura"/>
    <x:tableColumn id="10" name="Categoría"/>
    <x:tableColumn id="11" name="Tipo de pago"/>
    <x:tableColumn id="12" name="Moneda"/>
    <x:tableColumn id="13" name="No. personas"/>
    <x:tableColumn id="14" name="Fila de orig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41f4344a2049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f5b05f16734738" /></Relationships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>
      <x:pane xSplit="2" ySplit="18" topLeftCell="C19" activePane="bottomRight" state="frozen"/>
    </x:sheetView>
  </x:sheetViews>
  <x:sheetFormatPr defaultRowHeight="15"/>
  <x:cols>
    <x:col min="1" max="1" width="11" hidden="0" customWidth="1"/>
    <x:col min="2" max="2" width="26" hidden="0" customWidth="1"/>
    <x:col min="3" max="3" width="13" hidden="0" customWidth="1"/>
    <x:col min="4" max="4" width="34" hidden="0" customWidth="1"/>
    <x:col min="5" max="5" width="45" hidden="0" customWidth="1"/>
    <x:col min="6" max="6" width="20" hidden="0" customWidth="1"/>
    <x:col min="7" max="7" width="22" hidden="0" customWidth="1"/>
    <x:col min="8" max="8" width="32" hidden="0" customWidth="1"/>
    <x:col min="9" max="9" width="12" hidden="0" customWidth="1"/>
    <x:col min="10" max="10" width="36" hidden="0" customWidth="1"/>
    <x:col min="11" max="11" width="21" hidden="0" customWidth="1"/>
    <x:col min="12" max="12" width="43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1" customHeight="1">
      <x:c r="A2" s="3" t="str">
        <x:v>Facturas ausentes por revisar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8" customHeight="1">
      <x:c r="A3" s="4" t="str">
        <x:v>Conciliación del 16/10/2026 · Importes en MXN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8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28" customHeight="1">
      <x:c r="A5" s="2"/>
      <x:c r="B5" s="8" t="str">
        <x:v>Proyecto</x:v>
      </x:c>
      <x:c r="C5" s="8" t="str">
        <x:v>Facturas</x:v>
      </x:c>
      <x:c r="D5" s="8" t="str">
        <x:v>Importe MXN</x:v>
      </x:c>
      <x:c r="E5" s="2"/>
      <x:c r="F5" s="21" t="str">
        <x:v>Alcance de la revisión</x:v>
      </x:c>
      <x:c r="G5" s="2"/>
      <x:c r="H5" s="2"/>
      <x:c r="I5" s="2"/>
      <x:c r="J5" s="2"/>
      <x:c r="K5" s="2"/>
      <x:c r="L5" s="2"/>
    </x:row>
    <x:row r="6" ht="30" customHeight="1">
      <x:c r="A6" s="2"/>
      <x:c r="B6" s="9" t="str">
        <x:v>Larena - Acceso</x:v>
      </x:c>
      <x:c r="C6" s="17" t="n">
        <x:f>COUNTIFS($B$19:$B$81,B6)</x:f>
        <x:v>3</x:v>
      </x:c>
      <x:c r="D6" s="18" t="n">
        <x:f>SUMIFS($F$19:$F$81,$B$19:$B$81,B6)</x:f>
        <x:v>244977.8</x:v>
      </x:c>
      <x:c r="E6" s="2"/>
      <x:c r="F6" s="4" t="str">
        <x:v>Torre I restaurada; Urbanización sin facturas ausentes.</x:v>
      </x:c>
      <x:c r="G6" s="2"/>
      <x:c r="H6" s="2"/>
      <x:c r="I6" s="2"/>
      <x:c r="J6" s="2"/>
      <x:c r="K6" s="2"/>
      <x:c r="L6" s="2"/>
    </x:row>
    <x:row r="7" ht="30" customHeight="1">
      <x:c r="A7" s="2"/>
      <x:c r="B7" s="9" t="str">
        <x:v>Larena - Torre G</x:v>
      </x:c>
      <x:c r="C7" s="17" t="n">
        <x:f>COUNTIFS($B$19:$B$81,B7)</x:f>
        <x:v>13</x:v>
      </x:c>
      <x:c r="D7" s="18" t="n">
        <x:f>SUMIFS($F$19:$F$81,$B$19:$B$81,B7)</x:f>
        <x:v>600591.8099999999</x:v>
      </x:c>
      <x:c r="E7" s="2"/>
      <x:c r="F7" s="2"/>
      <x:c r="G7" s="2"/>
      <x:c r="H7" s="2"/>
      <x:c r="I7" s="2"/>
      <x:c r="J7" s="2"/>
      <x:c r="K7" s="2"/>
      <x:c r="L7" s="2"/>
    </x:row>
    <x:row r="8" ht="30" customHeight="1">
      <x:c r="A8" s="2"/>
      <x:c r="B8" s="9" t="str">
        <x:v>Larena - Torre H</x:v>
      </x:c>
      <x:c r="C8" s="17" t="n">
        <x:f>COUNTIFS($B$19:$B$81,B8)</x:f>
        <x:v>38</x:v>
      </x:c>
      <x:c r="D8" s="18" t="n">
        <x:f>SUMIFS($F$19:$F$81,$B$19:$B$81,B8)</x:f>
        <x:v>2074585.708</x:v>
      </x:c>
      <x:c r="E8" s="2"/>
      <x:c r="F8" s="4" t="str">
        <x:v>Excluye la baja histórica de $2,750 de Torre H.</x:v>
      </x:c>
      <x:c r="G8" s="2"/>
      <x:c r="H8" s="2"/>
      <x:c r="I8" s="2"/>
      <x:c r="J8" s="2"/>
      <x:c r="K8" s="2"/>
      <x:c r="L8" s="2"/>
    </x:row>
    <x:row r="9" ht="30" customHeight="1">
      <x:c r="A9" s="2"/>
      <x:c r="B9" s="9" t="str">
        <x:v>Larena - Torre I</x:v>
      </x:c>
      <x:c r="C9" s="17" t="n">
        <x:f>COUNTIFS($B$19:$B$81,B9)</x:f>
        <x:v>0</x:v>
      </x:c>
      <x:c r="D9" s="18" t="n">
        <x:f>SUMIFS($F$19:$F$81,$B$19:$B$81,B9)</x:f>
        <x:v>0</x:v>
      </x:c>
      <x:c r="E9" s="2"/>
      <x:c r="F9" s="2"/>
      <x:c r="G9" s="2"/>
      <x:c r="H9" s="2"/>
      <x:c r="I9" s="2"/>
      <x:c r="J9" s="2"/>
      <x:c r="K9" s="2"/>
      <x:c r="L9" s="2"/>
    </x:row>
    <x:row r="10" ht="30" customHeight="1">
      <x:c r="A10" s="2"/>
      <x:c r="B10" s="9" t="str">
        <x:v>Larena - Torre J</x:v>
      </x:c>
      <x:c r="C10" s="17" t="n">
        <x:f>COUNTIFS($B$19:$B$81,B10)</x:f>
        <x:v>4</x:v>
      </x:c>
      <x:c r="D10" s="18" t="n">
        <x:f>SUMIFS($F$19:$F$81,$B$19:$B$81,B10)</x:f>
        <x:v>70744.99</x:v>
      </x:c>
      <x:c r="E10" s="2"/>
      <x:c r="F10" s="4" t="str">
        <x:v>Los $58,000 de Torre J requieren otra aclaración.</x:v>
      </x:c>
      <x:c r="G10" s="2"/>
      <x:c r="H10" s="2"/>
      <x:c r="I10" s="2"/>
      <x:c r="J10" s="2"/>
      <x:c r="K10" s="2"/>
      <x:c r="L10" s="2"/>
    </x:row>
    <x:row r="11" ht="30" customHeight="1">
      <x:c r="A11" s="2"/>
      <x:c r="B11" s="9" t="str">
        <x:v>Larena - Urbanización 01</x:v>
      </x:c>
      <x:c r="C11" s="17" t="n">
        <x:f>COUNTIFS($B$19:$B$81,B11)</x:f>
        <x:v>0</x:v>
      </x:c>
      <x:c r="D11" s="18" t="n">
        <x:f>SUMIFS($F$19:$F$81,$B$19:$B$81,B11)</x:f>
        <x:v>0</x:v>
      </x:c>
      <x:c r="E11" s="2"/>
      <x:c r="F11" s="2"/>
      <x:c r="G11" s="2"/>
      <x:c r="H11" s="2"/>
      <x:c r="I11" s="2"/>
      <x:c r="J11" s="2"/>
      <x:c r="K11" s="2"/>
      <x:c r="L11" s="2"/>
    </x:row>
    <x:row r="12" ht="30" customHeight="1">
      <x:c r="A12" s="2"/>
      <x:c r="B12" s="9" t="str">
        <x:v>Lote 77</x:v>
      </x:c>
      <x:c r="C12" s="17" t="n">
        <x:f>COUNTIFS($B$19:$B$81,B12)</x:f>
        <x:v>5</x:v>
      </x:c>
      <x:c r="D12" s="18" t="n">
        <x:f>SUMIFS($F$19:$F$81,$B$19:$B$81,B12)</x:f>
        <x:v>274742.52</x:v>
      </x:c>
      <x:c r="E12" s="2"/>
      <x:c r="F12" s="4" t="str">
        <x:v>Totales calculados con los decimales originales.</x:v>
      </x:c>
      <x:c r="G12" s="2"/>
      <x:c r="H12" s="2"/>
      <x:c r="I12" s="2"/>
      <x:c r="J12" s="2"/>
      <x:c r="K12" s="2"/>
      <x:c r="L12" s="2"/>
    </x:row>
    <x:row r="13" ht="28" customHeight="1">
      <x:c r="A13" s="2"/>
      <x:c r="B13" s="12" t="str">
        <x:v>TOTAL</x:v>
      </x:c>
      <x:c r="C13" s="19" t="n">
        <x:f>SUM(C6:C12)</x:f>
        <x:v>63</x:v>
      </x:c>
      <x:c r="D13" s="20" t="n">
        <x:f>F83</x:f>
        <x:v>3265642.828</x:v>
      </x:c>
      <x:c r="E13" s="2"/>
      <x:c r="F13" s="2"/>
      <x:c r="G13" s="2"/>
      <x:c r="H13" s="2"/>
      <x:c r="I13" s="2"/>
      <x:c r="J13" s="2"/>
      <x:c r="K13" s="2"/>
      <x:c r="L13" s="2"/>
    </x:row>
    <x:row r="14" ht="28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8" customHeight="1">
      <x:c r="A16" s="22" t="str">
        <x:v>Filtra por proyecto o estado. Registra el resultado de tu revisión en Estado y Comentarios.</x:v>
      </x:c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</x:row>
    <x:row r="17" ht="2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34" customHeight="1">
      <x:c r="A18" s="24" t="str">
        <x:v>ID revisión</x:v>
      </x:c>
      <x:c r="B18" s="24" t="str">
        <x:v>Proyecto</x:v>
      </x:c>
      <x:c r="C18" s="24" t="str">
        <x:v>Fecha</x:v>
      </x:c>
      <x:c r="D18" s="24" t="str">
        <x:v>Factura</x:v>
      </x:c>
      <x:c r="E18" s="24" t="str">
        <x:v>Proveedor</x:v>
      </x:c>
      <x:c r="F18" s="24" t="str">
        <x:v>Importe MXN</x:v>
      </x:c>
      <x:c r="G18" s="24" t="str">
        <x:v>Tipo de pago</x:v>
      </x:c>
      <x:c r="H18" s="24" t="str">
        <x:v>Partidas</x:v>
      </x:c>
      <x:c r="I18" s="24" t="str">
        <x:v>Conceptos</x:v>
      </x:c>
      <x:c r="J18" s="24" t="str">
        <x:v>Filas de origen</x:v>
      </x:c>
      <x:c r="K18" s="24" t="str">
        <x:v>Estado</x:v>
      </x:c>
      <x:c r="L18" s="24" t="str">
        <x:v>Comentarios</x:v>
      </x:c>
    </x:row>
    <x:row r="19" ht="44" customHeight="1">
      <x:c r="A19" s="9" t="str">
        <x:v>REV-001</x:v>
      </x:c>
      <x:c r="B19" s="9" t="str">
        <x:v>Larena - Acceso</x:v>
      </x:c>
      <x:c r="C19" s="26" t="d">
        <x:v>2026-08-07T00:00:00.000Z</x:v>
      </x:c>
      <x:c r="D19" s="9" t="str">
        <x:v>ACA-171687.pdf</x:v>
      </x:c>
      <x:c r="E19" s="9" t="str">
        <x:v>ACEROS CABOS SA DE CV</x:v>
      </x:c>
      <x:c r="F19" s="28" t="n">
        <x:f>SUMIFS('Conceptos'!$F$7:$F$187,'Conceptos'!$A$7:$A$187,A19)</x:f>
        <x:v>103874.81999999999</x:v>
      </x:c>
      <x:c r="G19" s="9" t="str">
        <x:v>TRANSFERENCIA</x:v>
      </x:c>
      <x:c r="H19" s="9" t="str">
        <x:v>CIMENTACIÓN</x:v>
      </x:c>
      <x:c r="I19" s="30" t="n">
        <x:f>COUNTIFS('Conceptos'!$A$7:$A$187,A19)</x:f>
        <x:v>9</x:v>
      </x:c>
      <x:c r="J19" s="9" t="str">
        <x:v>55, 56, 57, 58, 59, 60, 61, 62, 69</x:v>
      </x:c>
      <x:c r="K19" s="31" t="str">
        <x:v>Pendiente</x:v>
      </x:c>
      <x:c r="L19" s="31" t="str"/>
    </x:row>
    <x:row r="20" ht="44" customHeight="1">
      <x:c r="A20" s="9" t="str">
        <x:v>REV-002</x:v>
      </x:c>
      <x:c r="B20" s="9" t="str">
        <x:v>Larena - Acceso</x:v>
      </x:c>
      <x:c r="C20" s="26" t="d">
        <x:v>2026-08-07T00:00:00.000Z</x:v>
      </x:c>
      <x:c r="D20" s="9" t="str">
        <x:v>AME-HOA-260430.pdf</x:v>
      </x:c>
      <x:c r="E20" s="9" t="str">
        <x:v>SERVICIOS DE LIMPIEZA INTEGRAL SANPAMENS S DE RL DE CV</x:v>
      </x:c>
      <x:c r="F20" s="28" t="n">
        <x:f>SUMIFS('Conceptos'!$F$7:$F$187,'Conceptos'!$A$7:$A$187,A20)</x:f>
        <x:v>10857.6</x:v>
      </x:c>
      <x:c r="G20" s="9" t="str">
        <x:v>TRANSFERENCIA</x:v>
      </x:c>
      <x:c r="H20" s="9" t="str">
        <x:v>PRELIMINARES</x:v>
      </x:c>
      <x:c r="I20" s="30" t="n">
        <x:f>COUNTIFS('Conceptos'!$A$7:$A$187,A20)</x:f>
        <x:v>1</x:v>
      </x:c>
      <x:c r="J20" s="9" t="str">
        <x:v>132</x:v>
      </x:c>
      <x:c r="K20" s="31" t="str">
        <x:v>Pendiente</x:v>
      </x:c>
      <x:c r="L20" s="31" t="str"/>
    </x:row>
    <x:row r="21" ht="44" customHeight="1">
      <x:c r="A21" s="9" t="str">
        <x:v>REV-003</x:v>
      </x:c>
      <x:c r="B21" s="9" t="str">
        <x:v>Larena - Acceso</x:v>
      </x:c>
      <x:c r="C21" s="26" t="d">
        <x:v>2026-08-24T00:00:00.000Z</x:v>
      </x:c>
      <x:c r="D21" s="9" t="str">
        <x:v>PLM-500118009.pdf</x:v>
      </x:c>
      <x:c r="E21" s="9" t="str">
        <x:v>CONCRETOS EL PALMAR (VILLAGOMEZ JURADO)</x:v>
      </x:c>
      <x:c r="F21" s="28" t="n">
        <x:f>SUMIFS('Conceptos'!$F$7:$F$187,'Conceptos'!$A$7:$A$187,A21)</x:f>
        <x:v>130245.37999999999</x:v>
      </x:c>
      <x:c r="G21" s="9" t="str">
        <x:v>TRANSFERENCIA</x:v>
      </x:c>
      <x:c r="H21" s="9" t="str">
        <x:v>MUROS_PB</x:v>
      </x:c>
      <x:c r="I21" s="30" t="n">
        <x:f>COUNTIFS('Conceptos'!$A$7:$A$187,A21)</x:f>
        <x:v>4</x:v>
      </x:c>
      <x:c r="J21" s="9" t="str">
        <x:v>103, 104, 130, 131</x:v>
      </x:c>
      <x:c r="K21" s="31" t="str">
        <x:v>Pendiente</x:v>
      </x:c>
      <x:c r="L21" s="31" t="str"/>
    </x:row>
    <x:row r="22" ht="44" customHeight="1">
      <x:c r="A22" s="9" t="str">
        <x:v>REV-004</x:v>
      </x:c>
      <x:c r="B22" s="9" t="str">
        <x:v>Larena - Torre G</x:v>
      </x:c>
      <x:c r="C22" s="26" t="d">
        <x:v>2026-08-07T00:00:00.000Z</x:v>
      </x:c>
      <x:c r="D22" s="9" t="str">
        <x:v>LCO-10289.pdf</x:v>
      </x:c>
      <x:c r="E22" s="9" t="str">
        <x:v>LUXIDA CONCRETOS S DE RL DE CV</x:v>
      </x:c>
      <x:c r="F22" s="28" t="n">
        <x:f>SUMIFS('Conceptos'!$F$7:$F$187,'Conceptos'!$A$7:$A$187,A22)</x:f>
        <x:v>38112.06</x:v>
      </x:c>
      <x:c r="G22" s="9" t="str">
        <x:v>TRANSFERENCIA</x:v>
      </x:c>
      <x:c r="H22" s="9" t="str">
        <x:v>ALBAÑILERÍAS</x:v>
      </x:c>
      <x:c r="I22" s="30" t="n">
        <x:f>COUNTIFS('Conceptos'!$A$7:$A$187,A22)</x:f>
        <x:v>3</x:v>
      </x:c>
      <x:c r="J22" s="9" t="str">
        <x:v>208, 209, 211</x:v>
      </x:c>
      <x:c r="K22" s="31" t="str">
        <x:v>Pendiente</x:v>
      </x:c>
      <x:c r="L22" s="31" t="str"/>
    </x:row>
    <x:row r="23" ht="44" customHeight="1">
      <x:c r="A23" s="9" t="str">
        <x:v>REV-005</x:v>
      </x:c>
      <x:c r="B23" s="9" t="str">
        <x:v>Larena - Torre G</x:v>
      </x:c>
      <x:c r="C23" s="26" t="d">
        <x:v>2026-08-07T00:00:00.000Z</x:v>
      </x:c>
      <x:c r="D23" s="9" t="str">
        <x:v>LCO-10355.pdf</x:v>
      </x:c>
      <x:c r="E23" s="9" t="str">
        <x:v>LUXIDA CONCRETOS S DE RL DE CV</x:v>
      </x:c>
      <x:c r="F23" s="28" t="n">
        <x:f>SUMIFS('Conceptos'!$F$7:$F$187,'Conceptos'!$A$7:$A$187,A23)</x:f>
        <x:v>11973.59</x:v>
      </x:c>
      <x:c r="G23" s="9" t="str">
        <x:v>TRANSFERENCIA</x:v>
      </x:c>
      <x:c r="H23" s="9" t="str">
        <x:v>ALBAÑILERÍAS</x:v>
      </x:c>
      <x:c r="I23" s="30" t="n">
        <x:f>COUNTIFS('Conceptos'!$A$7:$A$187,A23)</x:f>
        <x:v>2</x:v>
      </x:c>
      <x:c r="J23" s="9" t="str">
        <x:v>207, 210</x:v>
      </x:c>
      <x:c r="K23" s="31" t="str">
        <x:v>Pendiente</x:v>
      </x:c>
      <x:c r="L23" s="31" t="str"/>
    </x:row>
    <x:row r="24" ht="44" customHeight="1">
      <x:c r="A24" s="9" t="str">
        <x:v>REV-006</x:v>
      </x:c>
      <x:c r="B24" s="9" t="str">
        <x:v>Larena - Torre G</x:v>
      </x:c>
      <x:c r="C24" s="26" t="d">
        <x:v>2026-08-10T00:00:00.000Z</x:v>
      </x:c>
      <x:c r="D24" s="9" t="str">
        <x:v>DIS-BAOS-10082026.pdf</x:v>
      </x:c>
      <x:c r="E24" s="9" t="str">
        <x:v>DISPERSIÓN</x:v>
      </x:c>
      <x:c r="F24" s="28" t="n">
        <x:f>SUMIFS('Conceptos'!$F$7:$F$187,'Conceptos'!$A$7:$A$187,A24)</x:f>
        <x:v>33406.53</x:v>
      </x:c>
      <x:c r="G24" s="9" t="str">
        <x:v>TRANSFERENCIA</x:v>
      </x:c>
      <x:c r="H24" s="9" t="str">
        <x:v>MÁRMOL</x:v>
      </x:c>
      <x:c r="I24" s="30" t="n">
        <x:f>COUNTIFS('Conceptos'!$A$7:$A$187,A24)</x:f>
        <x:v>3</x:v>
      </x:c>
      <x:c r="J24" s="9" t="str">
        <x:v>972, 973, 974</x:v>
      </x:c>
      <x:c r="K24" s="31" t="str">
        <x:v>Pendiente</x:v>
      </x:c>
      <x:c r="L24" s="31" t="str"/>
    </x:row>
    <x:row r="25" ht="44" customHeight="1">
      <x:c r="A25" s="9" t="str">
        <x:v>REV-007</x:v>
      </x:c>
      <x:c r="B25" s="9" t="str">
        <x:v>Larena - Torre G</x:v>
      </x:c>
      <x:c r="C25" s="26" t="d">
        <x:v>2026-08-10T00:00:00.000Z</x:v>
      </x:c>
      <x:c r="D25" s="9" t="str">
        <x:v>DIS-LARENAG-10082026.pdf</x:v>
      </x:c>
      <x:c r="E25" s="9" t="str">
        <x:v>DISPERSIÓN</x:v>
      </x:c>
      <x:c r="F25" s="28" t="n">
        <x:f>SUMIFS('Conceptos'!$F$7:$F$187,'Conceptos'!$A$7:$A$187,A25)</x:f>
        <x:v>76103.61</x:v>
      </x:c>
      <x:c r="G25" s="9" t="str">
        <x:v>TRANSFERENCIA</x:v>
      </x:c>
      <x:c r="H25" s="9" t="str">
        <x:v>ALBAÑILERÍAS</x:v>
      </x:c>
      <x:c r="I25" s="30" t="n">
        <x:f>COUNTIFS('Conceptos'!$A$7:$A$187,A25)</x:f>
        <x:v>5</x:v>
      </x:c>
      <x:c r="J25" s="9" t="str">
        <x:v>528, 530, 531, 533, 535</x:v>
      </x:c>
      <x:c r="K25" s="31" t="str">
        <x:v>Pendiente</x:v>
      </x:c>
      <x:c r="L25" s="31" t="str"/>
    </x:row>
    <x:row r="26" ht="44" customHeight="1">
      <x:c r="A26" s="9" t="str">
        <x:v>REV-008</x:v>
      </x:c>
      <x:c r="B26" s="9" t="str">
        <x:v>Larena - Torre G</x:v>
      </x:c>
      <x:c r="C26" s="26" t="d">
        <x:v>2026-08-10T00:00:00.000Z</x:v>
      </x:c>
      <x:c r="D26" s="9" t="str">
        <x:v>DIS-MCALIZATOR-10082026.pdf</x:v>
      </x:c>
      <x:c r="E26" s="9" t="str">
        <x:v>DISPERSIÓN</x:v>
      </x:c>
      <x:c r="F26" s="28" t="n">
        <x:f>SUMIFS('Conceptos'!$F$7:$F$187,'Conceptos'!$A$7:$A$187,A26)</x:f>
        <x:v>46884.82</x:v>
      </x:c>
      <x:c r="G26" s="9" t="str">
        <x:v>TRANSFERENCIA</x:v>
      </x:c>
      <x:c r="H26" s="9" t="str">
        <x:v>MÁRMOL</x:v>
      </x:c>
      <x:c r="I26" s="30" t="n">
        <x:f>COUNTIFS('Conceptos'!$A$7:$A$187,A26)</x:f>
        <x:v>5</x:v>
      </x:c>
      <x:c r="J26" s="9" t="str">
        <x:v>997, 998, 999, 1000, 1001</x:v>
      </x:c>
      <x:c r="K26" s="31" t="str">
        <x:v>Pendiente</x:v>
      </x:c>
      <x:c r="L26" s="31" t="str"/>
    </x:row>
    <x:row r="27" ht="44" customHeight="1">
      <x:c r="A27" s="9" t="str">
        <x:v>REV-009</x:v>
      </x:c>
      <x:c r="B27" s="9" t="str">
        <x:v>Larena - Torre G</x:v>
      </x:c>
      <x:c r="C27" s="26" t="d">
        <x:v>2026-08-10T00:00:00.000Z</x:v>
      </x:c>
      <x:c r="D27" s="9" t="str">
        <x:v>EFE-BAOS-10082026.pdf</x:v>
      </x:c>
      <x:c r="E27" s="9" t="str">
        <x:v>EFECTIVO</x:v>
      </x:c>
      <x:c r="F27" s="28" t="n">
        <x:f>SUMIFS('Conceptos'!$F$7:$F$187,'Conceptos'!$A$7:$A$187,A27)</x:f>
        <x:v>21631.98</x:v>
      </x:c>
      <x:c r="G27" s="9" t="str">
        <x:v>EFECTIVO</x:v>
      </x:c>
      <x:c r="H27" s="9" t="str">
        <x:v>MÁRMOL</x:v>
      </x:c>
      <x:c r="I27" s="30" t="n">
        <x:f>COUNTIFS('Conceptos'!$A$7:$A$187,A27)</x:f>
        <x:v>2</x:v>
      </x:c>
      <x:c r="J27" s="9" t="str">
        <x:v>971, 975</x:v>
      </x:c>
      <x:c r="K27" s="31" t="str">
        <x:v>Pendiente</x:v>
      </x:c>
      <x:c r="L27" s="31" t="str"/>
    </x:row>
    <x:row r="28" ht="44" customHeight="1">
      <x:c r="A28" s="9" t="str">
        <x:v>REV-010</x:v>
      </x:c>
      <x:c r="B28" s="9" t="str">
        <x:v>Larena - Torre G</x:v>
      </x:c>
      <x:c r="C28" s="26" t="d">
        <x:v>2026-08-10T00:00:00.000Z</x:v>
      </x:c>
      <x:c r="D28" s="9" t="str">
        <x:v>EFE-LARENAG-10082026.pdf</x:v>
      </x:c>
      <x:c r="E28" s="9" t="str">
        <x:v>EFECTIVO</x:v>
      </x:c>
      <x:c r="F28" s="28" t="n">
        <x:f>SUMIFS('Conceptos'!$F$7:$F$187,'Conceptos'!$A$7:$A$187,A28)</x:f>
        <x:v>35064</x:v>
      </x:c>
      <x:c r="G28" s="9" t="str">
        <x:v>EFECTIVO</x:v>
      </x:c>
      <x:c r="H28" s="9" t="str">
        <x:v>ALBAÑILERÍAS</x:v>
      </x:c>
      <x:c r="I28" s="30" t="n">
        <x:f>COUNTIFS('Conceptos'!$A$7:$A$187,A28)</x:f>
        <x:v>4</x:v>
      </x:c>
      <x:c r="J28" s="9" t="str">
        <x:v>527, 529, 532, 534</x:v>
      </x:c>
      <x:c r="K28" s="31" t="str">
        <x:v>Pendiente</x:v>
      </x:c>
      <x:c r="L28" s="31" t="str"/>
    </x:row>
    <x:row r="29" ht="44" customHeight="1">
      <x:c r="A29" s="9" t="str">
        <x:v>REV-011</x:v>
      </x:c>
      <x:c r="B29" s="9" t="str">
        <x:v>Larena - Torre G</x:v>
      </x:c>
      <x:c r="C29" s="26" t="d">
        <x:v>2026-08-24T00:00:00.000Z</x:v>
      </x:c>
      <x:c r="D29" s="9" t="str">
        <x:v>DIS-LARENAG-24082026.pdf</x:v>
      </x:c>
      <x:c r="E29" s="9" t="str">
        <x:v>DISPERSIÓN</x:v>
      </x:c>
      <x:c r="F29" s="28" t="n">
        <x:f>SUMIFS('Conceptos'!$F$7:$F$187,'Conceptos'!$A$7:$A$187,A29)</x:f>
        <x:v>76103.61</x:v>
      </x:c>
      <x:c r="G29" s="9" t="str">
        <x:v>TRANSFERENCIA</x:v>
      </x:c>
      <x:c r="H29" s="9" t="str">
        <x:v>ALBAÑILERÍAS</x:v>
      </x:c>
      <x:c r="I29" s="30" t="n">
        <x:f>COUNTIFS('Conceptos'!$A$7:$A$187,A29)</x:f>
        <x:v>5</x:v>
      </x:c>
      <x:c r="J29" s="9" t="str">
        <x:v>546, 548, 549, 551, 553</x:v>
      </x:c>
      <x:c r="K29" s="31" t="str">
        <x:v>Pendiente</x:v>
      </x:c>
      <x:c r="L29" s="31" t="str"/>
    </x:row>
    <x:row r="30" ht="44" customHeight="1">
      <x:c r="A30" s="9" t="str">
        <x:v>REV-012</x:v>
      </x:c>
      <x:c r="B30" s="9" t="str">
        <x:v>Larena - Torre G</x:v>
      </x:c>
      <x:c r="C30" s="26" t="d">
        <x:v>2026-08-24T00:00:00.000Z</x:v>
      </x:c>
      <x:c r="D30" s="9" t="str">
        <x:v>DIS-MCALIZATOR-24082026.pdf</x:v>
      </x:c>
      <x:c r="E30" s="9" t="str">
        <x:v>DISPERSIÓN</x:v>
      </x:c>
      <x:c r="F30" s="28" t="n">
        <x:f>SUMIFS('Conceptos'!$F$7:$F$187,'Conceptos'!$A$7:$A$187,A30)</x:f>
        <x:v>47384.82</x:v>
      </x:c>
      <x:c r="G30" s="9" t="str">
        <x:v>TRANSFERENCIA</x:v>
      </x:c>
      <x:c r="H30" s="9" t="str">
        <x:v>MÁRMOL</x:v>
      </x:c>
      <x:c r="I30" s="30" t="n">
        <x:f>COUNTIFS('Conceptos'!$A$7:$A$187,A30)</x:f>
        <x:v>5</x:v>
      </x:c>
      <x:c r="J30" s="9" t="str">
        <x:v>1007, 1008, 1009, 1010, 1011</x:v>
      </x:c>
      <x:c r="K30" s="31" t="str">
        <x:v>Pendiente</x:v>
      </x:c>
      <x:c r="L30" s="31" t="str"/>
    </x:row>
    <x:row r="31" ht="44" customHeight="1">
      <x:c r="A31" s="9" t="str">
        <x:v>REV-013</x:v>
      </x:c>
      <x:c r="B31" s="9" t="str">
        <x:v>Larena - Torre G</x:v>
      </x:c>
      <x:c r="C31" s="26" t="d">
        <x:v>2026-08-24T00:00:00.000Z</x:v>
      </x:c>
      <x:c r="D31" s="9" t="str">
        <x:v>EFE-LARENAG-24082026.pdf</x:v>
      </x:c>
      <x:c r="E31" s="9" t="str">
        <x:v>EFECTIVO</x:v>
      </x:c>
      <x:c r="F31" s="28" t="n">
        <x:f>SUMIFS('Conceptos'!$F$7:$F$187,'Conceptos'!$A$7:$A$187,A31)</x:f>
        <x:v>29064</x:v>
      </x:c>
      <x:c r="G31" s="9" t="str">
        <x:v>EFECTIVO</x:v>
      </x:c>
      <x:c r="H31" s="9" t="str">
        <x:v>ALBAÑILERÍAS</x:v>
      </x:c>
      <x:c r="I31" s="30" t="n">
        <x:f>COUNTIFS('Conceptos'!$A$7:$A$187,A31)</x:f>
        <x:v>4</x:v>
      </x:c>
      <x:c r="J31" s="9" t="str">
        <x:v>545, 547, 550, 552</x:v>
      </x:c>
      <x:c r="K31" s="31" t="str">
        <x:v>Pendiente</x:v>
      </x:c>
      <x:c r="L31" s="31" t="str"/>
    </x:row>
    <x:row r="32" ht="44" customHeight="1">
      <x:c r="A32" s="9" t="str">
        <x:v>REV-014</x:v>
      </x:c>
      <x:c r="B32" s="9" t="str">
        <x:v>Larena - Torre G</x:v>
      </x:c>
      <x:c r="C32" s="26" t="d">
        <x:v>2026-08-31T00:00:00.000Z</x:v>
      </x:c>
      <x:c r="D32" s="9" t="str">
        <x:v>DIS-LARENAG-31082026.pdf</x:v>
      </x:c>
      <x:c r="E32" s="9" t="str">
        <x:v>DISPERSIÓN</x:v>
      </x:c>
      <x:c r="F32" s="28" t="n">
        <x:f>SUMIFS('Conceptos'!$F$7:$F$187,'Conceptos'!$A$7:$A$187,A32)</x:f>
        <x:v>86189.48999999999</x:v>
      </x:c>
      <x:c r="G32" s="9" t="str">
        <x:v>TRANSFERENCIA</x:v>
      </x:c>
      <x:c r="H32" s="9" t="str">
        <x:v>ALBAÑILERÍAS</x:v>
      </x:c>
      <x:c r="I32" s="30" t="n">
        <x:f>COUNTIFS('Conceptos'!$A$7:$A$187,A32)</x:f>
        <x:v>5</x:v>
      </x:c>
      <x:c r="J32" s="9" t="str">
        <x:v>554, 557, 558, 560, 562</x:v>
      </x:c>
      <x:c r="K32" s="31" t="str">
        <x:v>Pendiente</x:v>
      </x:c>
      <x:c r="L32" s="31" t="str"/>
    </x:row>
    <x:row r="33" ht="44" customHeight="1">
      <x:c r="A33" s="9" t="str">
        <x:v>REV-015</x:v>
      </x:c>
      <x:c r="B33" s="9" t="str">
        <x:v>Larena - Torre G</x:v>
      </x:c>
      <x:c r="C33" s="26" t="d">
        <x:v>2026-08-31T00:00:00.000Z</x:v>
      </x:c>
      <x:c r="D33" s="9" t="str">
        <x:v>DIS-MCALIZATOR-31082026.pdf</x:v>
      </x:c>
      <x:c r="E33" s="9" t="str">
        <x:v>DISPERSIÓN</x:v>
      </x:c>
      <x:c r="F33" s="28" t="n">
        <x:f>SUMIFS('Conceptos'!$F$7:$F$187,'Conceptos'!$A$7:$A$187,A33)</x:f>
        <x:v>56743.16</x:v>
      </x:c>
      <x:c r="G33" s="9" t="str">
        <x:v>TRANSFERENCIA</x:v>
      </x:c>
      <x:c r="H33" s="9" t="str">
        <x:v>MÁRMOL</x:v>
      </x:c>
      <x:c r="I33" s="30" t="n">
        <x:f>COUNTIFS('Conceptos'!$A$7:$A$187,A33)</x:f>
        <x:v>5</x:v>
      </x:c>
      <x:c r="J33" s="9" t="str">
        <x:v>1012, 1013, 1014, 1015, 1016</x:v>
      </x:c>
      <x:c r="K33" s="31" t="str">
        <x:v>Pendiente</x:v>
      </x:c>
      <x:c r="L33" s="31" t="str"/>
    </x:row>
    <x:row r="34" ht="44" customHeight="1">
      <x:c r="A34" s="9" t="str">
        <x:v>REV-016</x:v>
      </x:c>
      <x:c r="B34" s="9" t="str">
        <x:v>Larena - Torre G</x:v>
      </x:c>
      <x:c r="C34" s="26" t="d">
        <x:v>2026-08-31T00:00:00.000Z</x:v>
      </x:c>
      <x:c r="D34" s="9" t="str">
        <x:v>EFE-LARENAG-31082026.pdf</x:v>
      </x:c>
      <x:c r="E34" s="9" t="str">
        <x:v>EFECTIVO</x:v>
      </x:c>
      <x:c r="F34" s="28" t="n">
        <x:f>SUMIFS('Conceptos'!$F$7:$F$187,'Conceptos'!$A$7:$A$187,A34)</x:f>
        <x:v>41930.14</x:v>
      </x:c>
      <x:c r="G34" s="9" t="str">
        <x:v>EFECTIVO</x:v>
      </x:c>
      <x:c r="H34" s="9" t="str">
        <x:v>ALBAÑILERÍAS</x:v>
      </x:c>
      <x:c r="I34" s="30" t="n">
        <x:f>COUNTIFS('Conceptos'!$A$7:$A$187,A34)</x:f>
        <x:v>4</x:v>
      </x:c>
      <x:c r="J34" s="9" t="str">
        <x:v>555, 556, 559, 561</x:v>
      </x:c>
      <x:c r="K34" s="31" t="str">
        <x:v>Pendiente</x:v>
      </x:c>
      <x:c r="L34" s="31" t="str"/>
    </x:row>
    <x:row r="35" ht="44" customHeight="1">
      <x:c r="A35" s="9" t="str">
        <x:v>REV-017</x:v>
      </x:c>
      <x:c r="B35" s="9" t="str">
        <x:v>Larena - Torre H</x:v>
      </x:c>
      <x:c r="C35" s="26" t="d">
        <x:v>2026-07-06T00:00:00.000Z</x:v>
      </x:c>
      <x:c r="D35" s="9" t="str">
        <x:v>DIS-LARENAH-06072026.pdf</x:v>
      </x:c>
      <x:c r="E35" s="9" t="str">
        <x:v>DISPERSIÓN</x:v>
      </x:c>
      <x:c r="F35" s="28" t="n">
        <x:f>SUMIFS('Conceptos'!$F$7:$F$187,'Conceptos'!$A$7:$A$187,A35)</x:f>
        <x:v>60654.59</x:v>
      </x:c>
      <x:c r="G35" s="9" t="str">
        <x:v>TRANSFERENCIA</x:v>
      </x:c>
      <x:c r="H35" s="9" t="str">
        <x:v>ALBAÑILERÍAS</x:v>
      </x:c>
      <x:c r="I35" s="30" t="n">
        <x:f>COUNTIFS('Conceptos'!$A$7:$A$187,A35)</x:f>
        <x:v>5</x:v>
      </x:c>
      <x:c r="J35" s="9" t="str">
        <x:v>1847, 1849, 1850, 1852, 1854</x:v>
      </x:c>
      <x:c r="K35" s="31" t="str">
        <x:v>Pendiente</x:v>
      </x:c>
      <x:c r="L35" s="31" t="str"/>
    </x:row>
    <x:row r="36" ht="44" customHeight="1">
      <x:c r="A36" s="9" t="str">
        <x:v>REV-018</x:v>
      </x:c>
      <x:c r="B36" s="9" t="str">
        <x:v>Larena - Torre H</x:v>
      </x:c>
      <x:c r="C36" s="26" t="d">
        <x:v>2026-07-06T00:00:00.000Z</x:v>
      </x:c>
      <x:c r="D36" s="9" t="str">
        <x:v>EFE-LARENAH-06072026.pdf</x:v>
      </x:c>
      <x:c r="E36" s="9" t="str">
        <x:v>EFECTIVO</x:v>
      </x:c>
      <x:c r="F36" s="28" t="n">
        <x:f>SUMIFS('Conceptos'!$F$7:$F$187,'Conceptos'!$A$7:$A$187,A36)</x:f>
        <x:v>23186</x:v>
      </x:c>
      <x:c r="G36" s="9" t="str">
        <x:v>EFECTIVO</x:v>
      </x:c>
      <x:c r="H36" s="9" t="str">
        <x:v>ALBAÑILERÍAS</x:v>
      </x:c>
      <x:c r="I36" s="30" t="n">
        <x:f>COUNTIFS('Conceptos'!$A$7:$A$187,A36)</x:f>
        <x:v>4</x:v>
      </x:c>
      <x:c r="J36" s="9" t="str">
        <x:v>1846, 1848, 1851, 1853</x:v>
      </x:c>
      <x:c r="K36" s="31" t="str">
        <x:v>Pendiente</x:v>
      </x:c>
      <x:c r="L36" s="31" t="str"/>
    </x:row>
    <x:row r="37" ht="44" customHeight="1">
      <x:c r="A37" s="9" t="str">
        <x:v>REV-019</x:v>
      </x:c>
      <x:c r="B37" s="9" t="str">
        <x:v>Larena - Torre H</x:v>
      </x:c>
      <x:c r="C37" s="26" t="d">
        <x:v>2026-07-13T00:00:00.000Z</x:v>
      </x:c>
      <x:c r="D37" s="9" t="str">
        <x:v>DIS-LARENAH-13072026.pdf</x:v>
      </x:c>
      <x:c r="E37" s="9" t="str">
        <x:v>DISPERSIÓN</x:v>
      </x:c>
      <x:c r="F37" s="28" t="n">
        <x:f>SUMIFS('Conceptos'!$F$7:$F$187,'Conceptos'!$A$7:$A$187,A37)</x:f>
        <x:v>39691.63</x:v>
      </x:c>
      <x:c r="G37" s="9" t="str">
        <x:v>TRANSFERENCIA</x:v>
      </x:c>
      <x:c r="H37" s="9" t="str">
        <x:v>ALBAÑILERÍAS</x:v>
      </x:c>
      <x:c r="I37" s="30" t="n">
        <x:f>COUNTIFS('Conceptos'!$A$7:$A$187,A37)</x:f>
        <x:v>4</x:v>
      </x:c>
      <x:c r="J37" s="9" t="str">
        <x:v>1856, 1857, 1859, 1861</x:v>
      </x:c>
      <x:c r="K37" s="31" t="str">
        <x:v>Pendiente</x:v>
      </x:c>
      <x:c r="L37" s="31" t="str"/>
    </x:row>
    <x:row r="38" ht="44" customHeight="1">
      <x:c r="A38" s="9" t="str">
        <x:v>REV-020</x:v>
      </x:c>
      <x:c r="B38" s="9" t="str">
        <x:v>Larena - Torre H</x:v>
      </x:c>
      <x:c r="C38" s="26" t="d">
        <x:v>2026-07-13T00:00:00.000Z</x:v>
      </x:c>
      <x:c r="D38" s="9" t="str">
        <x:v>EFE-LARENAH-13072026.pdf</x:v>
      </x:c>
      <x:c r="E38" s="9" t="str">
        <x:v>EFECTIVO</x:v>
      </x:c>
      <x:c r="F38" s="28" t="n">
        <x:f>SUMIFS('Conceptos'!$F$7:$F$187,'Conceptos'!$A$7:$A$187,A38)</x:f>
        <x:v>15135.18</x:v>
      </x:c>
      <x:c r="G38" s="9" t="str">
        <x:v>EFECTIVO</x:v>
      </x:c>
      <x:c r="H38" s="9" t="str">
        <x:v>ALBAÑILERÍAS</x:v>
      </x:c>
      <x:c r="I38" s="30" t="n">
        <x:f>COUNTIFS('Conceptos'!$A$7:$A$187,A38)</x:f>
        <x:v>3</x:v>
      </x:c>
      <x:c r="J38" s="9" t="str">
        <x:v>1855, 1858, 1860</x:v>
      </x:c>
      <x:c r="K38" s="31" t="str">
        <x:v>Pendiente</x:v>
      </x:c>
      <x:c r="L38" s="31" t="str"/>
    </x:row>
    <x:row r="39" ht="44" customHeight="1">
      <x:c r="A39" s="9" t="str">
        <x:v>REV-021</x:v>
      </x:c>
      <x:c r="B39" s="9" t="str">
        <x:v>Larena - Torre H</x:v>
      </x:c>
      <x:c r="C39" s="26" t="d">
        <x:v>2026-07-20T00:00:00.000Z</x:v>
      </x:c>
      <x:c r="D39" s="9" t="str">
        <x:v>DIS-LARENAH-20072026.pdf</x:v>
      </x:c>
      <x:c r="E39" s="9" t="str">
        <x:v>DISPERSIÓN</x:v>
      </x:c>
      <x:c r="F39" s="28" t="n">
        <x:f>SUMIFS('Conceptos'!$F$7:$F$187,'Conceptos'!$A$7:$A$187,A39)</x:f>
        <x:v>68659.48</x:v>
      </x:c>
      <x:c r="G39" s="9" t="str">
        <x:v>TRANSFERENCIA</x:v>
      </x:c>
      <x:c r="H39" s="9" t="str">
        <x:v>ALBAÑILERÍAS</x:v>
      </x:c>
      <x:c r="I39" s="30" t="n">
        <x:f>COUNTIFS('Conceptos'!$A$7:$A$187,A39)</x:f>
        <x:v>5</x:v>
      </x:c>
      <x:c r="J39" s="9" t="str">
        <x:v>1863, 1865, 1866, 1868, 1870</x:v>
      </x:c>
      <x:c r="K39" s="31" t="str">
        <x:v>Pendiente</x:v>
      </x:c>
      <x:c r="L39" s="31" t="str"/>
    </x:row>
    <x:row r="40" ht="44" customHeight="1">
      <x:c r="A40" s="9" t="str">
        <x:v>REV-022</x:v>
      </x:c>
      <x:c r="B40" s="9" t="str">
        <x:v>Larena - Torre H</x:v>
      </x:c>
      <x:c r="C40" s="26" t="d">
        <x:v>2026-07-20T00:00:00.000Z</x:v>
      </x:c>
      <x:c r="D40" s="9" t="str">
        <x:v>EFE-LARENAH-20072026.pdf</x:v>
      </x:c>
      <x:c r="E40" s="9" t="str">
        <x:v>EFECTIVO</x:v>
      </x:c>
      <x:c r="F40" s="28" t="n">
        <x:f>SUMIFS('Conceptos'!$F$7:$F$187,'Conceptos'!$A$7:$A$187,A40)</x:f>
        <x:v>25280.88</x:v>
      </x:c>
      <x:c r="G40" s="9" t="str">
        <x:v>EFECTIVO</x:v>
      </x:c>
      <x:c r="H40" s="9" t="str">
        <x:v>ALBAÑILERÍAS</x:v>
      </x:c>
      <x:c r="I40" s="30" t="n">
        <x:f>COUNTIFS('Conceptos'!$A$7:$A$187,A40)</x:f>
        <x:v>4</x:v>
      </x:c>
      <x:c r="J40" s="9" t="str">
        <x:v>1862, 1864, 1867, 1869</x:v>
      </x:c>
      <x:c r="K40" s="31" t="str">
        <x:v>Pendiente</x:v>
      </x:c>
      <x:c r="L40" s="31" t="str"/>
    </x:row>
    <x:row r="41" ht="44" customHeight="1">
      <x:c r="A41" s="9" t="str">
        <x:v>REV-023</x:v>
      </x:c>
      <x:c r="B41" s="9" t="str">
        <x:v>Larena - Torre H</x:v>
      </x:c>
      <x:c r="C41" s="26" t="d">
        <x:v>2026-07-24T00:00:00.000Z</x:v>
      </x:c>
      <x:c r="D41" s="9" t="str">
        <x:v>ACA--260724.pdf</x:v>
      </x:c>
      <x:c r="E41" s="9" t="str">
        <x:v>ACEROS CABOS SA DE CV</x:v>
      </x:c>
      <x:c r="F41" s="28" t="n">
        <x:f>SUMIFS('Conceptos'!$F$7:$F$187,'Conceptos'!$A$7:$A$187,A41)</x:f>
        <x:v>4534.61</x:v>
      </x:c>
      <x:c r="G41" s="9" t="str">
        <x:v>TRANSFERENCIA</x:v>
      </x:c>
      <x:c r="H41" s="9" t="str">
        <x:v>ALBAÑILERÍAS</x:v>
      </x:c>
      <x:c r="I41" s="30" t="n">
        <x:f>COUNTIFS('Conceptos'!$A$7:$A$187,A41)</x:f>
        <x:v>1</x:v>
      </x:c>
      <x:c r="J41" s="9" t="str">
        <x:v>1539</x:v>
      </x:c>
      <x:c r="K41" s="31" t="str">
        <x:v>Pendiente</x:v>
      </x:c>
      <x:c r="L41" s="31" t="str"/>
    </x:row>
    <x:row r="42" ht="44" customHeight="1">
      <x:c r="A42" s="9" t="str">
        <x:v>REV-024</x:v>
      </x:c>
      <x:c r="B42" s="9" t="str">
        <x:v>Larena - Torre H</x:v>
      </x:c>
      <x:c r="C42" s="26" t="d">
        <x:v>2026-07-27T00:00:00.000Z</x:v>
      </x:c>
      <x:c r="D42" s="9" t="str">
        <x:v>DIS-LARENAH-27072026.pdf</x:v>
      </x:c>
      <x:c r="E42" s="9" t="str">
        <x:v>DISPERSIÓN</x:v>
      </x:c>
      <x:c r="F42" s="28" t="n">
        <x:f>SUMIFS('Conceptos'!$F$7:$F$187,'Conceptos'!$A$7:$A$187,A42)</x:f>
        <x:v>69894.87</x:v>
      </x:c>
      <x:c r="G42" s="9" t="str">
        <x:v>TRANSFERENCIA</x:v>
      </x:c>
      <x:c r="H42" s="9" t="str">
        <x:v>ALBAÑILERÍAS</x:v>
      </x:c>
      <x:c r="I42" s="30" t="n">
        <x:f>COUNTIFS('Conceptos'!$A$7:$A$187,A42)</x:f>
        <x:v>5</x:v>
      </x:c>
      <x:c r="J42" s="9" t="str">
        <x:v>1872, 1874, 1875, 1877, 1879</x:v>
      </x:c>
      <x:c r="K42" s="31" t="str">
        <x:v>Pendiente</x:v>
      </x:c>
      <x:c r="L42" s="31" t="str"/>
    </x:row>
    <x:row r="43" ht="44" customHeight="1">
      <x:c r="A43" s="9" t="str">
        <x:v>REV-025</x:v>
      </x:c>
      <x:c r="B43" s="9" t="str">
        <x:v>Larena - Torre H</x:v>
      </x:c>
      <x:c r="C43" s="26" t="d">
        <x:v>2026-07-27T00:00:00.000Z</x:v>
      </x:c>
      <x:c r="D43" s="9" t="str">
        <x:v>EFE-LARENAH-27072026.pdf</x:v>
      </x:c>
      <x:c r="E43" s="9" t="str">
        <x:v>EFECTIVO</x:v>
      </x:c>
      <x:c r="F43" s="28" t="n">
        <x:f>SUMIFS('Conceptos'!$F$7:$F$187,'Conceptos'!$A$7:$A$187,A43)</x:f>
        <x:v>26730</x:v>
      </x:c>
      <x:c r="G43" s="9" t="str">
        <x:v>EFECTIVO</x:v>
      </x:c>
      <x:c r="H43" s="9" t="str">
        <x:v>ALBAÑILERÍAS</x:v>
      </x:c>
      <x:c r="I43" s="30" t="n">
        <x:f>COUNTIFS('Conceptos'!$A$7:$A$187,A43)</x:f>
        <x:v>4</x:v>
      </x:c>
      <x:c r="J43" s="9" t="str">
        <x:v>1871, 1873, 1876, 1878</x:v>
      </x:c>
      <x:c r="K43" s="31" t="str">
        <x:v>Pendiente</x:v>
      </x:c>
      <x:c r="L43" s="31" t="str"/>
    </x:row>
    <x:row r="44" ht="44" customHeight="1">
      <x:c r="A44" s="9" t="str">
        <x:v>REV-026</x:v>
      </x:c>
      <x:c r="B44" s="9" t="str">
        <x:v>Larena - Torre H</x:v>
      </x:c>
      <x:c r="C44" s="26" t="d">
        <x:v>2026-08-07T00:00:00.000Z</x:v>
      </x:c>
      <x:c r="D44" s="9" t="str">
        <x:v>ACB-COL-260807.pdf</x:v>
      </x:c>
      <x:c r="E44" s="9" t="str">
        <x:v>ACABADOS CONSTRUCTIVOS DE LA BAJA SA DE CV</x:v>
      </x:c>
      <x:c r="F44" s="28" t="n">
        <x:f>SUMIFS('Conceptos'!$F$7:$F$187,'Conceptos'!$A$7:$A$187,A44)</x:f>
        <x:v>6721.408</x:v>
      </x:c>
      <x:c r="G44" s="9" t="str">
        <x:v>TRANSFERENCIA</x:v>
      </x:c>
      <x:c r="H44" s="9" t="str">
        <x:v>MÁRMOL</x:v>
      </x:c>
      <x:c r="I44" s="30" t="n">
        <x:f>COUNTIFS('Conceptos'!$A$7:$A$187,A44)</x:f>
        <x:v>1</x:v>
      </x:c>
      <x:c r="J44" s="9" t="str">
        <x:v>2795</x:v>
      </x:c>
      <x:c r="K44" s="31" t="str">
        <x:v>Pendiente</x:v>
      </x:c>
      <x:c r="L44" s="31" t="str"/>
    </x:row>
    <x:row r="45" ht="44" customHeight="1">
      <x:c r="A45" s="9" t="str">
        <x:v>REV-027</x:v>
      </x:c>
      <x:c r="B45" s="9" t="str">
        <x:v>Larena - Torre H</x:v>
      </x:c>
      <x:c r="C45" s="26" t="d">
        <x:v>2026-08-07T00:00:00.000Z</x:v>
      </x:c>
      <x:c r="D45" s="9" t="str">
        <x:v>AEA-COL-260807.pdf</x:v>
      </x:c>
      <x:c r="E45" s="9" t="str">
        <x:v>ANDAMIOS Y EQUIPOS AMARILLOS, S.A. DE C.V.</x:v>
      </x:c>
      <x:c r="F45" s="28" t="n">
        <x:f>SUMIFS('Conceptos'!$F$7:$F$187,'Conceptos'!$A$7:$A$187,A45)</x:f>
        <x:v>93020.4</x:v>
      </x:c>
      <x:c r="G45" s="9" t="str">
        <x:v>TRANSFERENCIA</x:v>
      </x:c>
      <x:c r="H45" s="9" t="str">
        <x:v>MÁRMOL</x:v>
      </x:c>
      <x:c r="I45" s="30" t="n">
        <x:f>COUNTIFS('Conceptos'!$A$7:$A$187,A45)</x:f>
        <x:v>1</x:v>
      </x:c>
      <x:c r="J45" s="9" t="str">
        <x:v>2715</x:v>
      </x:c>
      <x:c r="K45" s="31" t="str">
        <x:v>Pendiente</x:v>
      </x:c>
      <x:c r="L45" s="31" t="str"/>
    </x:row>
    <x:row r="46" ht="44" customHeight="1">
      <x:c r="A46" s="9" t="str">
        <x:v>REV-028</x:v>
      </x:c>
      <x:c r="B46" s="9" t="str">
        <x:v>Larena - Torre H</x:v>
      </x:c>
      <x:c r="C46" s="26" t="d">
        <x:v>2026-08-07T00:00:00.000Z</x:v>
      </x:c>
      <x:c r="D46" s="9" t="str">
        <x:v>COM-184198.pdf</x:v>
      </x:c>
      <x:c r="E46" s="9" t="str">
        <x:v>COMERCABOS SA DE CV</x:v>
      </x:c>
      <x:c r="F46" s="28" t="n">
        <x:f>SUMIFS('Conceptos'!$F$7:$F$187,'Conceptos'!$A$7:$A$187,A46)</x:f>
        <x:v>4199.9</x:v>
      </x:c>
      <x:c r="G46" s="9" t="str">
        <x:v>TRANSFERENCIA</x:v>
      </x:c>
      <x:c r="H46" s="9" t="str">
        <x:v>MÁRMOL</x:v>
      </x:c>
      <x:c r="I46" s="30" t="n">
        <x:f>COUNTIFS('Conceptos'!$A$7:$A$187,A46)</x:f>
        <x:v>1</x:v>
      </x:c>
      <x:c r="J46" s="9" t="str">
        <x:v>2793</x:v>
      </x:c>
      <x:c r="K46" s="31" t="str">
        <x:v>Pendiente</x:v>
      </x:c>
      <x:c r="L46" s="31" t="str"/>
    </x:row>
    <x:row r="47" ht="44" customHeight="1">
      <x:c r="A47" s="9" t="str">
        <x:v>REV-029</x:v>
      </x:c>
      <x:c r="B47" s="9" t="str">
        <x:v>Larena - Torre H</x:v>
      </x:c>
      <x:c r="C47" s="26" t="d">
        <x:v>2026-08-07T00:00:00.000Z</x:v>
      </x:c>
      <x:c r="D47" s="9" t="str">
        <x:v>CVM-COL-260807.pdf</x:v>
      </x:c>
      <x:c r="E47" s="9" t="str">
        <x:v>CYNTHIA VANESSA MACIAS JUAREZ</x:v>
      </x:c>
      <x:c r="F47" s="28" t="n">
        <x:f>SUMIFS('Conceptos'!$F$7:$F$187,'Conceptos'!$A$7:$A$187,A47)</x:f>
        <x:v>10824.25</x:v>
      </x:c>
      <x:c r="G47" s="9" t="str">
        <x:v>TRANSFERENCIA</x:v>
      </x:c>
      <x:c r="H47" s="9" t="str">
        <x:v>ALBAÑILERÍAS</x:v>
      </x:c>
      <x:c r="I47" s="30" t="n">
        <x:f>COUNTIFS('Conceptos'!$A$7:$A$187,A47)</x:f>
        <x:v>2</x:v>
      </x:c>
      <x:c r="J47" s="9" t="str">
        <x:v>1530, 1531</x:v>
      </x:c>
      <x:c r="K47" s="31" t="str">
        <x:v>Pendiente</x:v>
      </x:c>
      <x:c r="L47" s="31" t="str"/>
    </x:row>
    <x:row r="48" ht="44" customHeight="1">
      <x:c r="A48" s="9" t="str">
        <x:v>REV-030</x:v>
      </x:c>
      <x:c r="B48" s="9" t="str">
        <x:v>Larena - Torre H</x:v>
      </x:c>
      <x:c r="C48" s="26" t="d">
        <x:v>2026-08-07T00:00:00.000Z</x:v>
      </x:c>
      <x:c r="D48" s="9" t="str">
        <x:v>CVM-HER-260807.pdf</x:v>
      </x:c>
      <x:c r="E48" s="9" t="str">
        <x:v>CYNTHIA VANESSA MACIAS JUAREZ</x:v>
      </x:c>
      <x:c r="F48" s="28" t="n">
        <x:f>SUMIFS('Conceptos'!$F$7:$F$187,'Conceptos'!$A$7:$A$187,A48)</x:f>
        <x:v>17700.32</x:v>
      </x:c>
      <x:c r="G48" s="9" t="str">
        <x:v>TRANSFERENCIA</x:v>
      </x:c>
      <x:c r="H48" s="9" t="str">
        <x:v>ALBAÑILERÍAS</x:v>
      </x:c>
      <x:c r="I48" s="30" t="n">
        <x:f>COUNTIFS('Conceptos'!$A$7:$A$187,A48)</x:f>
        <x:v>1</x:v>
      </x:c>
      <x:c r="J48" s="9" t="str">
        <x:v>1532</x:v>
      </x:c>
      <x:c r="K48" s="31" t="str">
        <x:v>Pendiente</x:v>
      </x:c>
      <x:c r="L48" s="31" t="str"/>
    </x:row>
    <x:row r="49" ht="44" customHeight="1">
      <x:c r="A49" s="9" t="str">
        <x:v>REV-031</x:v>
      </x:c>
      <x:c r="B49" s="9" t="str">
        <x:v>Larena - Torre H</x:v>
      </x:c>
      <x:c r="C49" s="26" t="d">
        <x:v>2026-08-07T00:00:00.000Z</x:v>
      </x:c>
      <x:c r="D49" s="9" t="str">
        <x:v>FBU-INS-260807.pdf</x:v>
      </x:c>
      <x:c r="E49" s="9" t="str">
        <x:v>FIGUEROA Y DE BUEN, S.A. DE C.V. </x:v>
      </x:c>
      <x:c r="F49" s="28" t="n">
        <x:f>SUMIFS('Conceptos'!$F$7:$F$187,'Conceptos'!$A$7:$A$187,A49)</x:f>
        <x:v>661805.895</x:v>
      </x:c>
      <x:c r="G49" s="9" t="str">
        <x:v>TRANSFERENCIA</x:v>
      </x:c>
      <x:c r="H49" s="9" t="str">
        <x:v>AIRE_ACONDICIONADO</x:v>
      </x:c>
      <x:c r="I49" s="30" t="n">
        <x:f>COUNTIFS('Conceptos'!$A$7:$A$187,A49)</x:f>
        <x:v>1</x:v>
      </x:c>
      <x:c r="J49" s="9" t="str">
        <x:v>1468</x:v>
      </x:c>
      <x:c r="K49" s="31" t="str">
        <x:v>Pendiente</x:v>
      </x:c>
      <x:c r="L49" s="31" t="str"/>
    </x:row>
    <x:row r="50" ht="44" customHeight="1">
      <x:c r="A50" s="9" t="str">
        <x:v>REV-032</x:v>
      </x:c>
      <x:c r="B50" s="9" t="str">
        <x:v>Larena - Torre H</x:v>
      </x:c>
      <x:c r="C50" s="26" t="d">
        <x:v>2026-08-07T00:00:00.000Z</x:v>
      </x:c>
      <x:c r="D50" s="9" t="str">
        <x:v>FPS-2515.pdf</x:v>
      </x:c>
      <x:c r="E50" s="9" t="str">
        <x:v>FERRETERÍA Y PLOMERÍA SANTANA, SA DE CV</x:v>
      </x:c>
      <x:c r="F50" s="28" t="n">
        <x:f>SUMIFS('Conceptos'!$F$7:$F$187,'Conceptos'!$A$7:$A$187,A50)</x:f>
        <x:v>66680.79</x:v>
      </x:c>
      <x:c r="G50" s="9" t="str">
        <x:v>TRANSFERENCIA</x:v>
      </x:c>
      <x:c r="H50" s="9" t="str">
        <x:v>MÁRMOL</x:v>
      </x:c>
      <x:c r="I50" s="30" t="n">
        <x:f>COUNTIFS('Conceptos'!$A$7:$A$187,A50)</x:f>
        <x:v>1</x:v>
      </x:c>
      <x:c r="J50" s="9" t="str">
        <x:v>2623</x:v>
      </x:c>
      <x:c r="K50" s="31" t="str">
        <x:v>Pendiente</x:v>
      </x:c>
      <x:c r="L50" s="31" t="str"/>
    </x:row>
    <x:row r="51" ht="44" customHeight="1">
      <x:c r="A51" s="9" t="str">
        <x:v>REV-033</x:v>
      </x:c>
      <x:c r="B51" s="9" t="str">
        <x:v>Larena - Torre H</x:v>
      </x:c>
      <x:c r="C51" s="26" t="d">
        <x:v>2026-08-07T00:00:00.000Z</x:v>
      </x:c>
      <x:c r="D51" s="9" t="str">
        <x:v>LCO-10288.pdf</x:v>
      </x:c>
      <x:c r="E51" s="9" t="str">
        <x:v>LUXIDA CONCRETOS S DE RL DE CV</x:v>
      </x:c>
      <x:c r="F51" s="28" t="n">
        <x:f>SUMIFS('Conceptos'!$F$7:$F$187,'Conceptos'!$A$7:$A$187,A51)</x:f>
        <x:v>38112.06</x:v>
      </x:c>
      <x:c r="G51" s="9" t="str">
        <x:v>TRANSFERENCIA</x:v>
      </x:c>
      <x:c r="H51" s="9" t="str">
        <x:v>ALBAÑILERÍAS</x:v>
      </x:c>
      <x:c r="I51" s="30" t="n">
        <x:f>COUNTIFS('Conceptos'!$A$7:$A$187,A51)</x:f>
        <x:v>3</x:v>
      </x:c>
      <x:c r="J51" s="9" t="str">
        <x:v>1498, 1499, 1500</x:v>
      </x:c>
      <x:c r="K51" s="31" t="str">
        <x:v>Pendiente</x:v>
      </x:c>
      <x:c r="L51" s="31" t="str"/>
    </x:row>
    <x:row r="52" ht="44" customHeight="1">
      <x:c r="A52" s="9" t="str">
        <x:v>REV-034</x:v>
      </x:c>
      <x:c r="B52" s="9" t="str">
        <x:v>Larena - Torre H</x:v>
      </x:c>
      <x:c r="C52" s="26" t="d">
        <x:v>2026-08-07T00:00:00.000Z</x:v>
      </x:c>
      <x:c r="D52" s="9" t="str">
        <x:v>LCO-CON-260807.pdf</x:v>
      </x:c>
      <x:c r="E52" s="9" t="str">
        <x:v>LUXIDA CONCRETOS S DE RL DE CV</x:v>
      </x:c>
      <x:c r="F52" s="28" t="n">
        <x:f>SUMIFS('Conceptos'!$F$7:$F$187,'Conceptos'!$A$7:$A$187,A52)</x:f>
        <x:v>23159.86</x:v>
      </x:c>
      <x:c r="G52" s="9" t="str">
        <x:v>TRANSFERENCIA</x:v>
      </x:c>
      <x:c r="H52" s="9" t="str">
        <x:v>ESTRUCTURAS_COMPLEMENTARIAS</x:v>
      </x:c>
      <x:c r="I52" s="30" t="n">
        <x:f>COUNTIFS('Conceptos'!$A$7:$A$187,A52)</x:f>
        <x:v>1</x:v>
      </x:c>
      <x:c r="J52" s="9" t="str">
        <x:v>2171</x:v>
      </x:c>
      <x:c r="K52" s="31" t="str">
        <x:v>Pendiente</x:v>
      </x:c>
      <x:c r="L52" s="31" t="str"/>
    </x:row>
    <x:row r="53" ht="44" customHeight="1">
      <x:c r="A53" s="9" t="str">
        <x:v>REV-035</x:v>
      </x:c>
      <x:c r="B53" s="9" t="str">
        <x:v>Larena - Torre H</x:v>
      </x:c>
      <x:c r="C53" s="26" t="d">
        <x:v>2026-08-07T00:00:00.000Z</x:v>
      </x:c>
      <x:c r="D53" s="9" t="str">
        <x:v>MKP-COL-260807.pdf</x:v>
      </x:c>
      <x:c r="E53" s="9" t="str">
        <x:v>MONTSERRAT KARIME PAZ CARDENAS</x:v>
      </x:c>
      <x:c r="F53" s="28" t="n">
        <x:f>SUMIFS('Conceptos'!$F$7:$F$187,'Conceptos'!$A$7:$A$187,A53)</x:f>
        <x:v>37181</x:v>
      </x:c>
      <x:c r="G53" s="9" t="str">
        <x:v>TRANSFERENCIA</x:v>
      </x:c>
      <x:c r="H53" s="9" t="str">
        <x:v>MÁRMOL</x:v>
      </x:c>
      <x:c r="I53" s="30" t="n">
        <x:f>COUNTIFS('Conceptos'!$A$7:$A$187,A53)</x:f>
        <x:v>6</x:v>
      </x:c>
      <x:c r="J53" s="9" t="str">
        <x:v>2615, 2616, 2791, 2792, 2794, 2797</x:v>
      </x:c>
      <x:c r="K53" s="31" t="str">
        <x:v>Pendiente</x:v>
      </x:c>
      <x:c r="L53" s="31" t="str"/>
    </x:row>
    <x:row r="54" ht="44" customHeight="1">
      <x:c r="A54" s="9" t="str">
        <x:v>REV-036</x:v>
      </x:c>
      <x:c r="B54" s="9" t="str">
        <x:v>Larena - Torre H</x:v>
      </x:c>
      <x:c r="C54" s="26" t="d">
        <x:v>2026-08-07T00:00:00.000Z</x:v>
      </x:c>
      <x:c r="D54" s="9" t="str">
        <x:v>NAGE-2469.pdf</x:v>
      </x:c>
      <x:c r="E54" s="9" t="str">
        <x:v>LUIS MANUEL NAVARRO GONZALEZ (HERMANOS NAVARRO FERRETERIA)</x:v>
      </x:c>
      <x:c r="F54" s="28" t="n">
        <x:f>SUMIFS('Conceptos'!$F$7:$F$187,'Conceptos'!$A$7:$A$187,A54)</x:f>
        <x:v>73254</x:v>
      </x:c>
      <x:c r="G54" s="9" t="str">
        <x:v>TRANSFERENCIA</x:v>
      </x:c>
      <x:c r="H54" s="9" t="str">
        <x:v>MÁRMOL</x:v>
      </x:c>
      <x:c r="I54" s="30" t="n">
        <x:f>COUNTIFS('Conceptos'!$A$7:$A$187,A54)</x:f>
        <x:v>2</x:v>
      </x:c>
      <x:c r="J54" s="9" t="str">
        <x:v>2621, 2622</x:v>
      </x:c>
      <x:c r="K54" s="31" t="str">
        <x:v>Pendiente</x:v>
      </x:c>
      <x:c r="L54" s="31" t="str"/>
    </x:row>
    <x:row r="55" ht="44" customHeight="1">
      <x:c r="A55" s="9" t="str">
        <x:v>REV-037</x:v>
      </x:c>
      <x:c r="B55" s="9" t="str">
        <x:v>Larena - Torre H</x:v>
      </x:c>
      <x:c r="C55" s="26" t="d">
        <x:v>2026-08-07T00:00:00.000Z</x:v>
      </x:c>
      <x:c r="D55" s="9" t="str">
        <x:v>NAGE-2470.pdf</x:v>
      </x:c>
      <x:c r="E55" s="9" t="str">
        <x:v>LUIS MANUEL NAVARRO GONZALEZ (HERMANOS NAVARRO FERRETERIA)</x:v>
      </x:c>
      <x:c r="F55" s="28" t="n">
        <x:f>SUMIFS('Conceptos'!$F$7:$F$187,'Conceptos'!$A$7:$A$187,A55)</x:f>
        <x:v>21460</x:v>
      </x:c>
      <x:c r="G55" s="9" t="str">
        <x:v>TRANSFERENCIA</x:v>
      </x:c>
      <x:c r="H55" s="9" t="str">
        <x:v>MÁRMOL</x:v>
      </x:c>
      <x:c r="I55" s="30" t="n">
        <x:f>COUNTIFS('Conceptos'!$A$7:$A$187,A55)</x:f>
        <x:v>1</x:v>
      </x:c>
      <x:c r="J55" s="9" t="str">
        <x:v>2619</x:v>
      </x:c>
      <x:c r="K55" s="31" t="str">
        <x:v>Pendiente</x:v>
      </x:c>
      <x:c r="L55" s="31" t="str"/>
    </x:row>
    <x:row r="56" ht="44" customHeight="1">
      <x:c r="A56" s="9" t="str">
        <x:v>REV-038</x:v>
      </x:c>
      <x:c r="B56" s="9" t="str">
        <x:v>Larena - Torre H</x:v>
      </x:c>
      <x:c r="C56" s="26" t="d">
        <x:v>2026-08-07T00:00:00.000Z</x:v>
      </x:c>
      <x:c r="D56" s="9" t="str">
        <x:v>NAGE-2471.pdf</x:v>
      </x:c>
      <x:c r="E56" s="9" t="str">
        <x:v>LUIS MANUEL NAVARRO GONZALEZ (HERMANOS NAVARRO FERRETERIA)</x:v>
      </x:c>
      <x:c r="F56" s="28" t="n">
        <x:f>SUMIFS('Conceptos'!$F$7:$F$187,'Conceptos'!$A$7:$A$187,A56)</x:f>
        <x:v>27376</x:v>
      </x:c>
      <x:c r="G56" s="9" t="str">
        <x:v>TRANSFERENCIA</x:v>
      </x:c>
      <x:c r="H56" s="9" t="str">
        <x:v>MÁRMOL</x:v>
      </x:c>
      <x:c r="I56" s="30" t="n">
        <x:f>COUNTIFS('Conceptos'!$A$7:$A$187,A56)</x:f>
        <x:v>1</x:v>
      </x:c>
      <x:c r="J56" s="9" t="str">
        <x:v>2620</x:v>
      </x:c>
      <x:c r="K56" s="31" t="str">
        <x:v>Pendiente</x:v>
      </x:c>
      <x:c r="L56" s="31" t="str"/>
    </x:row>
    <x:row r="57" ht="44" customHeight="1">
      <x:c r="A57" s="9" t="str">
        <x:v>REV-039</x:v>
      </x:c>
      <x:c r="B57" s="9" t="str">
        <x:v>Larena - Torre H</x:v>
      </x:c>
      <x:c r="C57" s="26" t="d">
        <x:v>2026-08-07T00:00:00.000Z</x:v>
      </x:c>
      <x:c r="D57" s="9" t="str">
        <x:v>NAGE-2563.pdf</x:v>
      </x:c>
      <x:c r="E57" s="9" t="str">
        <x:v>LUIS MANUEL NAVARRO GONZALEZ (HERMANOS NAVARRO FERRETERIA)</x:v>
      </x:c>
      <x:c r="F57" s="28" t="n">
        <x:f>SUMIFS('Conceptos'!$F$7:$F$187,'Conceptos'!$A$7:$A$187,A57)</x:f>
        <x:v>30276</x:v>
      </x:c>
      <x:c r="G57" s="9" t="str">
        <x:v>TRANSFERENCIA</x:v>
      </x:c>
      <x:c r="H57" s="9" t="str">
        <x:v>MÁRMOL</x:v>
      </x:c>
      <x:c r="I57" s="30" t="n">
        <x:f>COUNTIFS('Conceptos'!$A$7:$A$187,A57)</x:f>
        <x:v>2</x:v>
      </x:c>
      <x:c r="J57" s="9" t="str">
        <x:v>2796, 2798</x:v>
      </x:c>
      <x:c r="K57" s="31" t="str">
        <x:v>Pendiente</x:v>
      </x:c>
      <x:c r="L57" s="31" t="str"/>
    </x:row>
    <x:row r="58" ht="44" customHeight="1">
      <x:c r="A58" s="9" t="str">
        <x:v>REV-040</x:v>
      </x:c>
      <x:c r="B58" s="9" t="str">
        <x:v>Larena - Torre H</x:v>
      </x:c>
      <x:c r="C58" s="26" t="d">
        <x:v>2026-08-07T00:00:00.000Z</x:v>
      </x:c>
      <x:c r="D58" s="9" t="str">
        <x:v>NAGE-2566.pdf</x:v>
      </x:c>
      <x:c r="E58" s="9" t="str">
        <x:v>LUIS MANUEL NAVARRO GONZALEZ (HERMANOS NAVARRO FERRETERIA)</x:v>
      </x:c>
      <x:c r="F58" s="28" t="n">
        <x:f>SUMIFS('Conceptos'!$F$7:$F$187,'Conceptos'!$A$7:$A$187,A58)</x:f>
        <x:v>21156</x:v>
      </x:c>
      <x:c r="G58" s="9" t="str">
        <x:v>TRANSFERENCIA</x:v>
      </x:c>
      <x:c r="H58" s="9" t="str">
        <x:v>MÁRMOL</x:v>
      </x:c>
      <x:c r="I58" s="30" t="n">
        <x:f>COUNTIFS('Conceptos'!$A$7:$A$187,A58)</x:f>
        <x:v>1</x:v>
      </x:c>
      <x:c r="J58" s="9" t="str">
        <x:v>2617</x:v>
      </x:c>
      <x:c r="K58" s="31" t="str">
        <x:v>Pendiente</x:v>
      </x:c>
      <x:c r="L58" s="31" t="str"/>
    </x:row>
    <x:row r="59" ht="44" customHeight="1">
      <x:c r="A59" s="9" t="str">
        <x:v>REV-041</x:v>
      </x:c>
      <x:c r="B59" s="9" t="str">
        <x:v>Larena - Torre H</x:v>
      </x:c>
      <x:c r="C59" s="26" t="d">
        <x:v>2026-08-07T00:00:00.000Z</x:v>
      </x:c>
      <x:c r="D59" s="9" t="str">
        <x:v>NAGE-2567.pdf</x:v>
      </x:c>
      <x:c r="E59" s="9" t="str">
        <x:v>LUIS MANUEL NAVARRO GONZALEZ (HERMANOS NAVARRO FERRETERIA)</x:v>
      </x:c>
      <x:c r="F59" s="28" t="n">
        <x:f>SUMIFS('Conceptos'!$F$7:$F$187,'Conceptos'!$A$7:$A$187,A59)</x:f>
        <x:v>27376</x:v>
      </x:c>
      <x:c r="G59" s="9" t="str">
        <x:v>TRANSFERENCIA</x:v>
      </x:c>
      <x:c r="H59" s="9" t="str">
        <x:v>MÁRMOL</x:v>
      </x:c>
      <x:c r="I59" s="30" t="n">
        <x:f>COUNTIFS('Conceptos'!$A$7:$A$187,A59)</x:f>
        <x:v>1</x:v>
      </x:c>
      <x:c r="J59" s="9" t="str">
        <x:v>2799</x:v>
      </x:c>
      <x:c r="K59" s="31" t="str">
        <x:v>Pendiente</x:v>
      </x:c>
      <x:c r="L59" s="31" t="str"/>
    </x:row>
    <x:row r="60" ht="44" customHeight="1">
      <x:c r="A60" s="9" t="str">
        <x:v>REV-042</x:v>
      </x:c>
      <x:c r="B60" s="9" t="str">
        <x:v>Larena - Torre H</x:v>
      </x:c>
      <x:c r="C60" s="26" t="d">
        <x:v>2026-08-07T00:00:00.000Z</x:v>
      </x:c>
      <x:c r="D60" s="9" t="str">
        <x:v>NAGE-2569.pdf</x:v>
      </x:c>
      <x:c r="E60" s="9" t="str">
        <x:v>LUIS MANUEL NAVARRO GONZALEZ (HERMANOS NAVARRO FERRETERIA)</x:v>
      </x:c>
      <x:c r="F60" s="28" t="n">
        <x:f>SUMIFS('Conceptos'!$F$7:$F$187,'Conceptos'!$A$7:$A$187,A60)</x:f>
        <x:v>21460</x:v>
      </x:c>
      <x:c r="G60" s="9" t="str">
        <x:v>TRANSFERENCIA</x:v>
      </x:c>
      <x:c r="H60" s="9" t="str">
        <x:v>MÁRMOL</x:v>
      </x:c>
      <x:c r="I60" s="30" t="n">
        <x:f>COUNTIFS('Conceptos'!$A$7:$A$187,A60)</x:f>
        <x:v>1</x:v>
      </x:c>
      <x:c r="J60" s="9" t="str">
        <x:v>2618</x:v>
      </x:c>
      <x:c r="K60" s="31" t="str">
        <x:v>Pendiente</x:v>
      </x:c>
      <x:c r="L60" s="31" t="str"/>
    </x:row>
    <x:row r="61" ht="44" customHeight="1">
      <x:c r="A61" s="9" t="str">
        <x:v>REV-043</x:v>
      </x:c>
      <x:c r="B61" s="9" t="str">
        <x:v>Larena - Torre H</x:v>
      </x:c>
      <x:c r="C61" s="26" t="d">
        <x:v>2026-08-07T00:00:00.000Z</x:v>
      </x:c>
      <x:c r="D61" s="9" t="str">
        <x:v>OTA-ACC-260807.pdf</x:v>
      </x:c>
      <x:c r="E61" s="9" t="str">
        <x:v>OSCAR TAMAYO</x:v>
      </x:c>
      <x:c r="F61" s="28" t="n">
        <x:f>SUMIFS('Conceptos'!$F$7:$F$187,'Conceptos'!$A$7:$A$187,A61)</x:f>
        <x:v>25500</x:v>
      </x:c>
      <x:c r="G61" s="9" t="str">
        <x:v>TRANSFERENCIA</x:v>
      </x:c>
      <x:c r="H61" s="9" t="str">
        <x:v>LUMINARIAS</x:v>
      </x:c>
      <x:c r="I61" s="30" t="n">
        <x:f>COUNTIFS('Conceptos'!$A$7:$A$187,A61)</x:f>
        <x:v>1</x:v>
      </x:c>
      <x:c r="J61" s="9" t="str">
        <x:v>2538</x:v>
      </x:c>
      <x:c r="K61" s="31" t="str">
        <x:v>Pendiente</x:v>
      </x:c>
      <x:c r="L61" s="31" t="str"/>
    </x:row>
    <x:row r="62" ht="44" customHeight="1">
      <x:c r="A62" s="9" t="str">
        <x:v>REV-044</x:v>
      </x:c>
      <x:c r="B62" s="9" t="str">
        <x:v>Larena - Torre H</x:v>
      </x:c>
      <x:c r="C62" s="26" t="d">
        <x:v>2026-08-07T00:00:00.000Z</x:v>
      </x:c>
      <x:c r="D62" s="9" t="str">
        <x:v>PACM-15606.pdf</x:v>
      </x:c>
      <x:c r="E62" s="9" t="str">
        <x:v>MONTSERRAT KARIME PAZ CARDENAS</x:v>
      </x:c>
      <x:c r="F62" s="28" t="n">
        <x:f>SUMIFS('Conceptos'!$F$7:$F$187,'Conceptos'!$A$7:$A$187,A62)</x:f>
        <x:v>2297</x:v>
      </x:c>
      <x:c r="G62" s="9" t="str">
        <x:v>TRANSFERENCIA</x:v>
      </x:c>
      <x:c r="H62" s="9" t="str">
        <x:v>MÁRMOL</x:v>
      </x:c>
      <x:c r="I62" s="30" t="n">
        <x:f>COUNTIFS('Conceptos'!$A$7:$A$187,A62)</x:f>
        <x:v>3</x:v>
      </x:c>
      <x:c r="J62" s="9" t="str">
        <x:v>2608, 2610, 2612</x:v>
      </x:c>
      <x:c r="K62" s="31" t="str">
        <x:v>Pendiente</x:v>
      </x:c>
      <x:c r="L62" s="31" t="str"/>
    </x:row>
    <x:row r="63" ht="44" customHeight="1">
      <x:c r="A63" s="9" t="str">
        <x:v>REV-045</x:v>
      </x:c>
      <x:c r="B63" s="9" t="str">
        <x:v>Larena - Torre H</x:v>
      </x:c>
      <x:c r="C63" s="26" t="d">
        <x:v>2026-08-07T00:00:00.000Z</x:v>
      </x:c>
      <x:c r="D63" s="9" t="str">
        <x:v>PACM-15607.pdf</x:v>
      </x:c>
      <x:c r="E63" s="9" t="str">
        <x:v>MONTSERRAT KARIME PAZ CARDENAS</x:v>
      </x:c>
      <x:c r="F63" s="28" t="n">
        <x:f>SUMIFS('Conceptos'!$F$7:$F$187,'Conceptos'!$A$7:$A$187,A63)</x:f>
        <x:v>4227.5</x:v>
      </x:c>
      <x:c r="G63" s="9" t="str">
        <x:v>TRANSFERENCIA</x:v>
      </x:c>
      <x:c r="H63" s="9" t="str">
        <x:v>MÁRMOL</x:v>
      </x:c>
      <x:c r="I63" s="30" t="n">
        <x:f>COUNTIFS('Conceptos'!$A$7:$A$187,A63)</x:f>
        <x:v>5</x:v>
      </x:c>
      <x:c r="J63" s="9" t="str">
        <x:v>2607, 2609, 2611, 2613, 2614</x:v>
      </x:c>
      <x:c r="K63" s="31" t="str">
        <x:v>Pendiente</x:v>
      </x:c>
      <x:c r="L63" s="31" t="str"/>
    </x:row>
    <x:row r="64" ht="44" customHeight="1">
      <x:c r="A64" s="9" t="str">
        <x:v>REV-046</x:v>
      </x:c>
      <x:c r="B64" s="9" t="str">
        <x:v>Larena - Torre H</x:v>
      </x:c>
      <x:c r="C64" s="26" t="d">
        <x:v>2026-08-07T00:00:00.000Z</x:v>
      </x:c>
      <x:c r="D64" s="9" t="str">
        <x:v>PACM-15608.pdf</x:v>
      </x:c>
      <x:c r="E64" s="9" t="str">
        <x:v>MONTSERRAT KARIME PAZ CARDENAS</x:v>
      </x:c>
      <x:c r="F64" s="28" t="n">
        <x:f>SUMIFS('Conceptos'!$F$7:$F$187,'Conceptos'!$A$7:$A$187,A64)</x:f>
        <x:v>2005</x:v>
      </x:c>
      <x:c r="G64" s="9" t="str">
        <x:v>TRANSFERENCIA</x:v>
      </x:c>
      <x:c r="H64" s="9" t="str">
        <x:v>MÁRMOL</x:v>
      </x:c>
      <x:c r="I64" s="30" t="n">
        <x:f>COUNTIFS('Conceptos'!$A$7:$A$187,A64)</x:f>
        <x:v>2</x:v>
      </x:c>
      <x:c r="J64" s="9" t="str">
        <x:v>2788, 2790</x:v>
      </x:c>
      <x:c r="K64" s="31" t="str">
        <x:v>Pendiente</x:v>
      </x:c>
      <x:c r="L64" s="31" t="str"/>
    </x:row>
    <x:row r="65" ht="44" customHeight="1">
      <x:c r="A65" s="9" t="str">
        <x:v>REV-047</x:v>
      </x:c>
      <x:c r="B65" s="9" t="str">
        <x:v>Larena - Torre H</x:v>
      </x:c>
      <x:c r="C65" s="26" t="d">
        <x:v>2026-08-07T00:00:00.000Z</x:v>
      </x:c>
      <x:c r="D65" s="9" t="str">
        <x:v>PACM-15609.pdf</x:v>
      </x:c>
      <x:c r="E65" s="9" t="str">
        <x:v>MONTSERRAT KARIME PAZ CARDENAS</x:v>
      </x:c>
      <x:c r="F65" s="28" t="n">
        <x:f>SUMIFS('Conceptos'!$F$7:$F$187,'Conceptos'!$A$7:$A$187,A65)</x:f>
        <x:v>1220</x:v>
      </x:c>
      <x:c r="G65" s="9" t="str">
        <x:v>TRANSFERENCIA</x:v>
      </x:c>
      <x:c r="H65" s="9" t="str">
        <x:v>MÁRMOL</x:v>
      </x:c>
      <x:c r="I65" s="30" t="n">
        <x:f>COUNTIFS('Conceptos'!$A$7:$A$187,A65)</x:f>
        <x:v>1</x:v>
      </x:c>
      <x:c r="J65" s="9" t="str">
        <x:v>2789</x:v>
      </x:c>
      <x:c r="K65" s="31" t="str">
        <x:v>Pendiente</x:v>
      </x:c>
      <x:c r="L65" s="31" t="str"/>
    </x:row>
    <x:row r="66" ht="44" customHeight="1">
      <x:c r="A66" s="9" t="str">
        <x:v>REV-048</x:v>
      </x:c>
      <x:c r="B66" s="9" t="str">
        <x:v>Larena - Torre H</x:v>
      </x:c>
      <x:c r="C66" s="26" t="d">
        <x:v>2026-08-14T00:00:00.000Z</x:v>
      </x:c>
      <x:c r="D66" s="9" t="str">
        <x:v>ESR--260814.pdf</x:v>
      </x:c>
      <x:c r="E66" s="9" t="str">
        <x:v>ERIC SOLEDAD ROMERO</x:v>
      </x:c>
      <x:c r="F66" s="28" t="n">
        <x:f>SUMIFS('Conceptos'!$F$7:$F$187,'Conceptos'!$A$7:$A$187,A66)</x:f>
        <x:v>100000</x:v>
      </x:c>
      <x:c r="G66" s="9" t="str">
        <x:v>TRANSFERENCIA</x:v>
      </x:c>
      <x:c r="H66" s="9" t="str">
        <x:v>HERRERÍA</x:v>
      </x:c>
      <x:c r="I66" s="30" t="n">
        <x:f>COUNTIFS('Conceptos'!$A$7:$A$187,A66)</x:f>
        <x:v>1</x:v>
      </x:c>
      <x:c r="J66" s="9" t="str">
        <x:v>2249</x:v>
      </x:c>
      <x:c r="K66" s="31" t="str">
        <x:v>Pendiente</x:v>
      </x:c>
      <x:c r="L66" s="31" t="str"/>
    </x:row>
    <x:row r="67" ht="44" customHeight="1">
      <x:c r="A67" s="9" t="str">
        <x:v>REV-049</x:v>
      </x:c>
      <x:c r="B67" s="9" t="str">
        <x:v>Larena - Torre H</x:v>
      </x:c>
      <x:c r="C67" s="26" t="d">
        <x:v>2026-08-14T00:00:00.000Z</x:v>
      </x:c>
      <x:c r="D67" s="9" t="str">
        <x:v>JAH--260814.pdf</x:v>
      </x:c>
      <x:c r="E67" s="9" t="str">
        <x:v>JESUS ALBERTO HERNANDEZ DE HARO</x:v>
      </x:c>
      <x:c r="F67" s="28" t="n">
        <x:f>SUMIFS('Conceptos'!$F$7:$F$187,'Conceptos'!$A$7:$A$187,A67)</x:f>
        <x:v>376945.665</x:v>
      </x:c>
      <x:c r="G67" s="9" t="str">
        <x:v>TRANSFERENCIA</x:v>
      </x:c>
      <x:c r="H67" s="9" t="str">
        <x:v>ELECTRICIDAD</x:v>
      </x:c>
      <x:c r="I67" s="30" t="n">
        <x:f>COUNTIFS('Conceptos'!$A$7:$A$187,A67)</x:f>
        <x:v>1</x:v>
      </x:c>
      <x:c r="J67" s="9" t="str">
        <x:v>2146</x:v>
      </x:c>
      <x:c r="K67" s="31" t="str">
        <x:v>Pendiente</x:v>
      </x:c>
      <x:c r="L67" s="31" t="str"/>
    </x:row>
    <x:row r="68" ht="44" customHeight="1">
      <x:c r="A68" s="9" t="str">
        <x:v>REV-050</x:v>
      </x:c>
      <x:c r="B68" s="9" t="str">
        <x:v>Larena - Torre H</x:v>
      </x:c>
      <x:c r="C68" s="26" t="d">
        <x:v>2026-08-14T00:00:00.000Z</x:v>
      </x:c>
      <x:c r="D68" s="9" t="str">
        <x:v>MKP-COL-260814.pdf</x:v>
      </x:c>
      <x:c r="E68" s="9" t="str">
        <x:v>MONTSERRAT KARIME PAZ CARDENAS</x:v>
      </x:c>
      <x:c r="F68" s="28" t="n">
        <x:f>SUMIFS('Conceptos'!$F$7:$F$187,'Conceptos'!$A$7:$A$187,A68)</x:f>
        <x:v>1220</x:v>
      </x:c>
      <x:c r="G68" s="9" t="str">
        <x:v>TRANSFERENCIA</x:v>
      </x:c>
      <x:c r="H68" s="9" t="str">
        <x:v>MÁRMOL</x:v>
      </x:c>
      <x:c r="I68" s="30" t="n">
        <x:f>COUNTIFS('Conceptos'!$A$7:$A$187,A68)</x:f>
        <x:v>1</x:v>
      </x:c>
      <x:c r="J68" s="9" t="str">
        <x:v>2800</x:v>
      </x:c>
      <x:c r="K68" s="31" t="str">
        <x:v>Pendiente</x:v>
      </x:c>
      <x:c r="L68" s="31" t="str"/>
    </x:row>
    <x:row r="69" ht="44" customHeight="1">
      <x:c r="A69" s="9" t="str">
        <x:v>REV-051</x:v>
      </x:c>
      <x:c r="B69" s="9" t="str">
        <x:v>Larena - Torre H</x:v>
      </x:c>
      <x:c r="C69" s="26" t="d">
        <x:v>2026-08-21T00:00:00.000Z</x:v>
      </x:c>
      <x:c r="D69" s="9" t="str">
        <x:v>FCO-2131.pdf</x:v>
      </x:c>
      <x:c r="E69" s="9" t="str">
        <x:v>FITZER CONSTRUCTION SA DE CV</x:v>
      </x:c>
      <x:c r="F69" s="28" t="n">
        <x:f>SUMIFS('Conceptos'!$F$7:$F$187,'Conceptos'!$A$7:$A$187,A69)</x:f>
        <x:v>34684</x:v>
      </x:c>
      <x:c r="G69" s="9" t="str">
        <x:v>TRANSFERENCIA</x:v>
      </x:c>
      <x:c r="H69" s="9" t="str">
        <x:v>MÁRMOL</x:v>
      </x:c>
      <x:c r="I69" s="30" t="n">
        <x:f>COUNTIFS('Conceptos'!$A$7:$A$187,A69)</x:f>
        <x:v>2</x:v>
      </x:c>
      <x:c r="J69" s="9" t="str">
        <x:v>2803, 2804</x:v>
      </x:c>
      <x:c r="K69" s="31" t="str">
        <x:v>Pendiente</x:v>
      </x:c>
      <x:c r="L69" s="31" t="str"/>
    </x:row>
    <x:row r="70" ht="44" customHeight="1">
      <x:c r="A70" s="9" t="str">
        <x:v>REV-052</x:v>
      </x:c>
      <x:c r="B70" s="9" t="str">
        <x:v>Larena - Torre H</x:v>
      </x:c>
      <x:c r="C70" s="26" t="d">
        <x:v>2026-08-24T00:00:00.000Z</x:v>
      </x:c>
      <x:c r="D70" s="9" t="str">
        <x:v>PACM-15776.pdf</x:v>
      </x:c>
      <x:c r="E70" s="9" t="str">
        <x:v>MONTSERRAT KARIME PAZ CARDENAS</x:v>
      </x:c>
      <x:c r="F70" s="28" t="n">
        <x:f>SUMIFS('Conceptos'!$F$7:$F$187,'Conceptos'!$A$7:$A$187,A70)</x:f>
        <x:v>2283</x:v>
      </x:c>
      <x:c r="G70" s="9" t="str">
        <x:v>TRANSFERENCIA</x:v>
      </x:c>
      <x:c r="H70" s="9" t="str">
        <x:v>MÁRMOL</x:v>
      </x:c>
      <x:c r="I70" s="30" t="n">
        <x:f>COUNTIFS('Conceptos'!$A$7:$A$187,A70)</x:f>
        <x:v>4</x:v>
      </x:c>
      <x:c r="J70" s="9" t="str">
        <x:v>2805, 2807, 2809, 2811</x:v>
      </x:c>
      <x:c r="K70" s="31" t="str">
        <x:v>Pendiente</x:v>
      </x:c>
      <x:c r="L70" s="31" t="str"/>
    </x:row>
    <x:row r="71" ht="44" customHeight="1">
      <x:c r="A71" s="9" t="str">
        <x:v>REV-053</x:v>
      </x:c>
      <x:c r="B71" s="9" t="str">
        <x:v>Larena - Torre H</x:v>
      </x:c>
      <x:c r="C71" s="26" t="d">
        <x:v>2026-08-24T00:00:00.000Z</x:v>
      </x:c>
      <x:c r="D71" s="9" t="str">
        <x:v>PACM-15778.pdf</x:v>
      </x:c>
      <x:c r="E71" s="9" t="str">
        <x:v>MONTSERRAT KARIME PAZ CARDENAS</x:v>
      </x:c>
      <x:c r="F71" s="28" t="n">
        <x:f>SUMIFS('Conceptos'!$F$7:$F$187,'Conceptos'!$A$7:$A$187,A71)</x:f>
        <x:v>1684</x:v>
      </x:c>
      <x:c r="G71" s="9" t="str">
        <x:v>TRANSFERENCIA</x:v>
      </x:c>
      <x:c r="H71" s="9" t="str">
        <x:v>MÁRMOL</x:v>
      </x:c>
      <x:c r="I71" s="30" t="n">
        <x:f>COUNTIFS('Conceptos'!$A$7:$A$187,A71)</x:f>
        <x:v>3</x:v>
      </x:c>
      <x:c r="J71" s="9" t="str">
        <x:v>2806, 2808, 2810</x:v>
      </x:c>
      <x:c r="K71" s="31" t="str">
        <x:v>Pendiente</x:v>
      </x:c>
      <x:c r="L71" s="31" t="str"/>
    </x:row>
    <x:row r="72" ht="44" customHeight="1">
      <x:c r="A72" s="9" t="str">
        <x:v>REV-054</x:v>
      </x:c>
      <x:c r="B72" s="9" t="str">
        <x:v>Larena - Torre H</x:v>
      </x:c>
      <x:c r="C72" s="26" t="d">
        <x:v>2026-08-24T00:00:00.000Z</x:v>
      </x:c>
      <x:c r="D72" s="9" t="str">
        <x:v>PLM-500118007.pdf</x:v>
      </x:c>
      <x:c r="E72" s="9" t="str">
        <x:v>CONCRETOS EL PALMAR (VILLAGOMEZ JURADO)</x:v>
      </x:c>
      <x:c r="F72" s="28" t="n">
        <x:f>SUMIFS('Conceptos'!$F$7:$F$187,'Conceptos'!$A$7:$A$187,A72)</x:f>
        <x:v>6988.42</x:v>
      </x:c>
      <x:c r="G72" s="9" t="str">
        <x:v>TRANSFERENCIA</x:v>
      </x:c>
      <x:c r="H72" s="9" t="str">
        <x:v>ALBAÑILERÍAS</x:v>
      </x:c>
      <x:c r="I72" s="30" t="n">
        <x:f>COUNTIFS('Conceptos'!$A$7:$A$187,A72)</x:f>
        <x:v>3</x:v>
      </x:c>
      <x:c r="J72" s="9" t="str">
        <x:v>1473, 1492, 1934</x:v>
      </x:c>
      <x:c r="K72" s="31" t="str">
        <x:v>Pendiente</x:v>
      </x:c>
      <x:c r="L72" s="31" t="str"/>
    </x:row>
    <x:row r="73" ht="44" customHeight="1">
      <x:c r="A73" s="9" t="str">
        <x:v>REV-055</x:v>
      </x:c>
      <x:c r="B73" s="9" t="str">
        <x:v>Larena - Torre J</x:v>
      </x:c>
      <x:c r="C73" s="26" t="d">
        <x:v>2026-08-24T00:00:00.000Z</x:v>
      </x:c>
      <x:c r="D73" s="9" t="str">
        <x:v>DIS-LARENAJ-24082026.pdf</x:v>
      </x:c>
      <x:c r="E73" s="9" t="str">
        <x:v>DISPERSIÓN</x:v>
      </x:c>
      <x:c r="F73" s="28" t="n">
        <x:f>SUMIFS('Conceptos'!$F$7:$F$187,'Conceptos'!$A$7:$A$187,A73)</x:f>
        <x:v>40574.91</x:v>
      </x:c>
      <x:c r="G73" s="9" t="str">
        <x:v>TRANSFERENCIA</x:v>
      </x:c>
      <x:c r="H73" s="9" t="str">
        <x:v>ALBAÑILERÍAS</x:v>
      </x:c>
      <x:c r="I73" s="30" t="n">
        <x:f>COUNTIFS('Conceptos'!$A$7:$A$187,A73)</x:f>
        <x:v>4</x:v>
      </x:c>
      <x:c r="J73" s="9" t="str">
        <x:v>5065, 5066, 5068, 5070</x:v>
      </x:c>
      <x:c r="K73" s="31" t="str">
        <x:v>Pendiente</x:v>
      </x:c>
      <x:c r="L73" s="31" t="str"/>
    </x:row>
    <x:row r="74" ht="44" customHeight="1">
      <x:c r="A74" s="9" t="str">
        <x:v>REV-056</x:v>
      </x:c>
      <x:c r="B74" s="9" t="str">
        <x:v>Larena - Torre J</x:v>
      </x:c>
      <x:c r="C74" s="26" t="d">
        <x:v>2026-08-24T00:00:00.000Z</x:v>
      </x:c>
      <x:c r="D74" s="9" t="str">
        <x:v>EFE-LARENAJ-24082026.pdf</x:v>
      </x:c>
      <x:c r="E74" s="9" t="str">
        <x:v>EFECTIVO</x:v>
      </x:c>
      <x:c r="F74" s="28" t="n">
        <x:f>SUMIFS('Conceptos'!$F$7:$F$187,'Conceptos'!$A$7:$A$187,A74)</x:f>
        <x:v>16413.64</x:v>
      </x:c>
      <x:c r="G74" s="9" t="str">
        <x:v>EFECTIVO</x:v>
      </x:c>
      <x:c r="H74" s="9" t="str">
        <x:v>ALBAÑILERÍAS</x:v>
      </x:c>
      <x:c r="I74" s="30" t="n">
        <x:f>COUNTIFS('Conceptos'!$A$7:$A$187,A74)</x:f>
        <x:v>3</x:v>
      </x:c>
      <x:c r="J74" s="9" t="str">
        <x:v>5064, 5067, 5069</x:v>
      </x:c>
      <x:c r="K74" s="31" t="str">
        <x:v>Pendiente</x:v>
      </x:c>
      <x:c r="L74" s="31" t="str"/>
    </x:row>
    <x:row r="75" ht="44" customHeight="1">
      <x:c r="A75" s="9" t="str">
        <x:v>REV-057</x:v>
      </x:c>
      <x:c r="B75" s="9" t="str">
        <x:v>Larena - Torre J</x:v>
      </x:c>
      <x:c r="C75" s="26" t="d">
        <x:v>2026-08-24T00:00:00.000Z</x:v>
      </x:c>
      <x:c r="D75" s="9" t="str">
        <x:v>EPO--260824.pdf</x:v>
      </x:c>
      <x:c r="E75" s="9" t="str">
        <x:v>ERNESTO PERALES OROZCO</x:v>
      </x:c>
      <x:c r="F75" s="28" t="n">
        <x:f>SUMIFS('Conceptos'!$F$7:$F$187,'Conceptos'!$A$7:$A$187,A75)</x:f>
        <x:v>2033.98</x:v>
      </x:c>
      <x:c r="G75" s="9" t="str">
        <x:v>TRANSFERENCIA</x:v>
      </x:c>
      <x:c r="H75" s="9" t="str">
        <x:v>LOSA_3NRT</x:v>
      </x:c>
      <x:c r="I75" s="30" t="n">
        <x:f>COUNTIFS('Conceptos'!$A$7:$A$187,A75)</x:f>
        <x:v>2</x:v>
      </x:c>
      <x:c r="J75" s="9" t="str">
        <x:v>5263, 5264</x:v>
      </x:c>
      <x:c r="K75" s="31" t="str">
        <x:v>Pendiente</x:v>
      </x:c>
      <x:c r="L75" s="31" t="str"/>
    </x:row>
    <x:row r="76" ht="44" customHeight="1">
      <x:c r="A76" s="9" t="str">
        <x:v>REV-058</x:v>
      </x:c>
      <x:c r="B76" s="9" t="str">
        <x:v>Larena - Torre J</x:v>
      </x:c>
      <x:c r="C76" s="26" t="d">
        <x:v>2026-08-24T00:00:00.000Z</x:v>
      </x:c>
      <x:c r="D76" s="9" t="str">
        <x:v>MPA--260824.pdf</x:v>
      </x:c>
      <x:c r="E76" s="9" t="str">
        <x:v>MULTIRENTAS DEL PACIFICO</x:v>
      </x:c>
      <x:c r="F76" s="28" t="n">
        <x:f>SUMIFS('Conceptos'!$F$7:$F$187,'Conceptos'!$A$7:$A$187,A76)</x:f>
        <x:v>11722.46</x:v>
      </x:c>
      <x:c r="G76" s="9" t="str">
        <x:v>TRANSFERENCIA</x:v>
      </x:c>
      <x:c r="H76" s="9" t="str">
        <x:v>ALBAÑILERÍAS</x:v>
      </x:c>
      <x:c r="I76" s="30" t="n">
        <x:f>COUNTIFS('Conceptos'!$A$7:$A$187,A76)</x:f>
        <x:v>2</x:v>
      </x:c>
      <x:c r="J76" s="9" t="str">
        <x:v>5092, 5093</x:v>
      </x:c>
      <x:c r="K76" s="31" t="str">
        <x:v>Pendiente</x:v>
      </x:c>
      <x:c r="L76" s="31" t="str"/>
    </x:row>
    <x:row r="77" ht="44" customHeight="1">
      <x:c r="A77" s="9" t="str">
        <x:v>REV-059</x:v>
      </x:c>
      <x:c r="B77" s="9" t="str">
        <x:v>Lote 77</x:v>
      </x:c>
      <x:c r="C77" s="26" t="d">
        <x:v>2026-09-04T00:00:00.000Z</x:v>
      </x:c>
      <x:c r="D77" s="9" t="str">
        <x:v>VAR-HER-040926.pdf</x:v>
      </x:c>
      <x:c r="E77" s="9" t="str">
        <x:v>VARIOS</x:v>
      </x:c>
      <x:c r="F77" s="28" t="n">
        <x:f>SUMIFS('Conceptos'!$F$7:$F$187,'Conceptos'!$A$7:$A$187,A77)</x:f>
        <x:v>3800.21</x:v>
      </x:c>
      <x:c r="G77" s="9" t="str">
        <x:v>EFECTIVO</x:v>
      </x:c>
      <x:c r="H77" s="9" t="str">
        <x:v>MUROS_PN</x:v>
      </x:c>
      <x:c r="I77" s="30" t="n">
        <x:f>COUNTIFS('Conceptos'!$A$7:$A$187,A77)</x:f>
        <x:v>1</x:v>
      </x:c>
      <x:c r="J77" s="9" t="str">
        <x:v>6565</x:v>
      </x:c>
      <x:c r="K77" s="31" t="str">
        <x:v>Pendiente</x:v>
      </x:c>
      <x:c r="L77" s="31" t="str"/>
    </x:row>
    <x:row r="78" ht="44" customHeight="1">
      <x:c r="A78" s="9" t="str">
        <x:v>REV-060</x:v>
      </x:c>
      <x:c r="B78" s="9" t="str">
        <x:v>Lote 77</x:v>
      </x:c>
      <x:c r="C78" s="26" t="d">
        <x:v>2026-09-07T00:00:00.000Z</x:v>
      </x:c>
      <x:c r="D78" s="9" t="str">
        <x:v>DIS-LT77-07092026.pdf</x:v>
      </x:c>
      <x:c r="E78" s="9" t="str">
        <x:v>DISPERSIÓN</x:v>
      </x:c>
      <x:c r="F78" s="28" t="n">
        <x:f>SUMIFS('Conceptos'!$F$7:$F$187,'Conceptos'!$A$7:$A$187,A78)</x:f>
        <x:v>124162.95999999999</x:v>
      </x:c>
      <x:c r="G78" s="9" t="str">
        <x:v>TRANSFERENCIA</x:v>
      </x:c>
      <x:c r="H78" s="9" t="str">
        <x:v>LOSA_PN</x:v>
      </x:c>
      <x:c r="I78" s="30" t="n">
        <x:f>COUNTIFS('Conceptos'!$A$7:$A$187,A78)</x:f>
        <x:v>6</x:v>
      </x:c>
      <x:c r="J78" s="9" t="str">
        <x:v>6438, 6439, 6440, 6441, 6442, 6443</x:v>
      </x:c>
      <x:c r="K78" s="31" t="str">
        <x:v>Pendiente</x:v>
      </x:c>
      <x:c r="L78" s="31" t="str"/>
    </x:row>
    <x:row r="79" ht="44" customHeight="1">
      <x:c r="A79" s="9" t="str">
        <x:v>REV-061</x:v>
      </x:c>
      <x:c r="B79" s="9" t="str">
        <x:v>Lote 77</x:v>
      </x:c>
      <x:c r="C79" s="26" t="d">
        <x:v>2026-09-11T00:00:00.000Z</x:v>
      </x:c>
      <x:c r="D79" s="9" t="str">
        <x:v>VAR-HER-110926.pdf</x:v>
      </x:c>
      <x:c r="E79" s="9" t="str">
        <x:v>VARIOS</x:v>
      </x:c>
      <x:c r="F79" s="28" t="n">
        <x:f>SUMIFS('Conceptos'!$F$7:$F$187,'Conceptos'!$A$7:$A$187,A79)</x:f>
        <x:v>3532.1</x:v>
      </x:c>
      <x:c r="G79" s="9" t="str">
        <x:v>EFECTIVO</x:v>
      </x:c>
      <x:c r="H79" s="9" t="str">
        <x:v>MUROS_PN</x:v>
      </x:c>
      <x:c r="I79" s="30" t="n">
        <x:f>COUNTIFS('Conceptos'!$A$7:$A$187,A79)</x:f>
        <x:v>1</x:v>
      </x:c>
      <x:c r="J79" s="9" t="str">
        <x:v>6566</x:v>
      </x:c>
      <x:c r="K79" s="31" t="str">
        <x:v>Pendiente</x:v>
      </x:c>
      <x:c r="L79" s="31" t="str"/>
    </x:row>
    <x:row r="80" ht="44" customHeight="1">
      <x:c r="A80" s="9" t="str">
        <x:v>REV-062</x:v>
      </x:c>
      <x:c r="B80" s="9" t="str">
        <x:v>Lote 77</x:v>
      </x:c>
      <x:c r="C80" s="26" t="d">
        <x:v>2026-09-14T00:00:00.000Z</x:v>
      </x:c>
      <x:c r="D80" s="9" t="str">
        <x:v>DIS-LT77-14092026.pdf</x:v>
      </x:c>
      <x:c r="E80" s="9" t="str">
        <x:v>DISPERSIÓN</x:v>
      </x:c>
      <x:c r="F80" s="28" t="n">
        <x:f>SUMIFS('Conceptos'!$F$7:$F$187,'Conceptos'!$A$7:$A$187,A80)</x:f>
        <x:v>141114.14</x:v>
      </x:c>
      <x:c r="G80" s="9" t="str">
        <x:v>TRANSFERENCIA</x:v>
      </x:c>
      <x:c r="H80" s="9" t="str">
        <x:v>LOSA_PN</x:v>
      </x:c>
      <x:c r="I80" s="30" t="n">
        <x:f>COUNTIFS('Conceptos'!$A$7:$A$187,A80)</x:f>
        <x:v>6</x:v>
      </x:c>
      <x:c r="J80" s="9" t="str">
        <x:v>6444, 6445, 6446, 6447, 6448, 6449</x:v>
      </x:c>
      <x:c r="K80" s="31" t="str">
        <x:v>Pendiente</x:v>
      </x:c>
      <x:c r="L80" s="31" t="str"/>
    </x:row>
    <x:row r="81" ht="44" customHeight="1">
      <x:c r="A81" s="9" t="str">
        <x:v>REV-063</x:v>
      </x:c>
      <x:c r="B81" s="9" t="str">
        <x:v>Lote 77</x:v>
      </x:c>
      <x:c r="C81" s="26" t="d">
        <x:v>2026-09-18T00:00:00.000Z</x:v>
      </x:c>
      <x:c r="D81" s="9" t="str">
        <x:v>VAR-HER-180926.pdf</x:v>
      </x:c>
      <x:c r="E81" s="9" t="str">
        <x:v>VARIOS</x:v>
      </x:c>
      <x:c r="F81" s="28" t="n">
        <x:f>SUMIFS('Conceptos'!$F$7:$F$187,'Conceptos'!$A$7:$A$187,A81)</x:f>
        <x:v>2133.1099999999997</x:v>
      </x:c>
      <x:c r="G81" s="9" t="str">
        <x:v>EFECTIVO</x:v>
      </x:c>
      <x:c r="H81" s="9" t="str">
        <x:v>MUROS_PN</x:v>
      </x:c>
      <x:c r="I81" s="30" t="n">
        <x:f>COUNTIFS('Conceptos'!$A$7:$A$187,A81)</x:f>
        <x:v>1</x:v>
      </x:c>
      <x:c r="J81" s="9" t="str">
        <x:v>6567</x:v>
      </x:c>
      <x:c r="K81" s="31" t="str">
        <x:v>Pendiente</x:v>
      </x:c>
      <x:c r="L81" s="31" t="str"/>
    </x:row>
    <x:row r="82" ht="2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8" customHeight="1">
      <x:c r="A83" s="2"/>
      <x:c r="B83" s="2"/>
      <x:c r="C83" s="2"/>
      <x:c r="D83" s="2"/>
      <x:c r="E83" s="33" t="str">
        <x:v>TOTAL</x:v>
      </x:c>
      <x:c r="F83" s="34" t="n">
        <x:f>SUM(F19:F81)</x:f>
        <x:v>3265642.828</x:v>
      </x:c>
      <x:c r="G83" s="33"/>
      <x:c r="H83" s="33"/>
      <x:c r="I83" s="35" t="n">
        <x:f>SUM(I19:I81)</x:f>
        <x:v>181</x:v>
      </x:c>
      <x:c r="J83" s="2"/>
      <x:c r="K83" s="2"/>
      <x:c r="L83" s="2"/>
    </x:row>
    <x:row r="84" ht="2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</x:sheetData>
  <x:conditionalFormatting sqref="K19:K81">
    <x:cfRule type="containsText" dxfId="0" priority="1" operator="containsText" text="Validada"/>
  </x:conditionalFormatting>
  <x:dataValidations count="1">
    <x:dataValidation type="list" sqref="K19:K81">
      <x:formula1>"Pendiente,Validada,Descartada,Restaurada"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41f4344a204957"/>
  </x:tableParts>
</x:worksheet>
</file>

<file path=xl/worksheets/sheet2.xml><?xml version="1.0" encoding="utf-8"?>
<x:worksheet xmlns:x="http://schemas.openxmlformats.org/spreadsheetml/2006/main">
  <x:sheetPr>
    <x:tabColor rgb="FFAAB8C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30" hidden="0" customWidth="1"/>
    <x:col min="4" max="4" width="42" hidden="0" customWidth="1"/>
    <x:col min="5" max="5" width="57" hidden="0" customWidth="1"/>
    <x:col min="6" max="6" width="20" hidden="0" customWidth="1"/>
    <x:col min="7" max="7" width="13" hidden="0" customWidth="1"/>
    <x:col min="8" max="8" width="55" hidden="0" customWidth="1"/>
    <x:col min="9" max="9" width="34" hidden="0" customWidth="1"/>
    <x:col min="10" max="10" width="18" hidden="0" customWidth="1"/>
    <x:col min="11" max="11" width="22" hidden="0" customWidth="1"/>
    <x:col min="12" max="12" width="12" hidden="0" customWidth="1"/>
    <x:col min="13" max="13" width="15" hidden="0" customWidth="1"/>
    <x:col min="14" max="14" width="1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1" customHeight="1">
      <x:c r="A2" s="3" t="str">
        <x:v>Conceptos de las facturas por revisar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8" customHeight="1">
      <x:c r="A3" s="4" t="str">
        <x:v>Fuente: CARGA GENERAL OBRAS.xlsx · Hoja Sheet1. La columna Fila de origen identifica cada registro del archivo original.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8" customHeight="1">
      <x:c r="A4" s="22" t="str">
        <x:v>Se conservan los importes y decimales originales. Relaciona ambas hojas por ID revisión.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4" customHeight="1">
      <x:c r="A6" s="24" t="str">
        <x:v>ID revisión</x:v>
      </x:c>
      <x:c r="B6" s="24" t="str">
        <x:v>Administración</x:v>
      </x:c>
      <x:c r="C6" s="24" t="str">
        <x:v>Partida</x:v>
      </x:c>
      <x:c r="D6" s="24" t="str">
        <x:v>Familia</x:v>
      </x:c>
      <x:c r="E6" s="24" t="str">
        <x:v>Subpartida</x:v>
      </x:c>
      <x:c r="F6" s="24" t="str">
        <x:v>Monto MXN</x:v>
      </x:c>
      <x:c r="G6" s="24" t="str">
        <x:v>Fecha</x:v>
      </x:c>
      <x:c r="H6" s="24" t="str">
        <x:v>Proveedor</x:v>
      </x:c>
      <x:c r="I6" s="24" t="str">
        <x:v>Factura</x:v>
      </x:c>
      <x:c r="J6" s="24" t="str">
        <x:v>Categoría</x:v>
      </x:c>
      <x:c r="K6" s="24" t="str">
        <x:v>Tipo de pago</x:v>
      </x:c>
      <x:c r="L6" s="24" t="str">
        <x:v>Moneda</x:v>
      </x:c>
      <x:c r="M6" s="24" t="str">
        <x:v>No. personas</x:v>
      </x:c>
      <x:c r="N6" s="24" t="str">
        <x:v>Fila de origen</x:v>
      </x:c>
    </x:row>
    <x:row r="7" ht="42" customHeight="1">
      <x:c r="A7" s="9" t="str">
        <x:v>REV-001</x:v>
      </x:c>
      <x:c r="B7" s="9" t="str">
        <x:v>ACCESO_PRINCIPAL</x:v>
      </x:c>
      <x:c r="C7" s="9" t="str">
        <x:v>CIMENTACIÓN</x:v>
      </x:c>
      <x:c r="D7" s="9" t="str">
        <x:v>ACERO</x:v>
      </x:c>
      <x:c r="E7" s="9" t="str">
        <x:v>ALAMBRE RECOCIDO CAL. 16, 0.016 KG/M</x:v>
      </x:c>
      <x:c r="F7" s="37" t="n">
        <x:v>6148.38</x:v>
      </x:c>
      <x:c r="G7" s="25" t="d">
        <x:v>2026-08-07T00:00:00.000Z</x:v>
      </x:c>
      <x:c r="H7" s="9" t="str">
        <x:v>ACEROS CABOS SA DE CV</x:v>
      </x:c>
      <x:c r="I7" s="9" t="str">
        <x:v>ACA-171687.pdf</x:v>
      </x:c>
      <x:c r="J7" s="9" t="str">
        <x:v>MATERIAL</x:v>
      </x:c>
      <x:c r="K7" s="9" t="str">
        <x:v>TRANSFERENCIA</x:v>
      </x:c>
      <x:c r="L7" s="9" t="str">
        <x:v>MXN</x:v>
      </x:c>
      <x:c r="M7" s="30"/>
      <x:c r="N7" s="30" t="n">
        <x:v>55</x:v>
      </x:c>
    </x:row>
    <x:row r="8" ht="42" customHeight="1">
      <x:c r="A8" s="9" t="str">
        <x:v>REV-001</x:v>
      </x:c>
      <x:c r="B8" s="9" t="str">
        <x:v>ACCESO_PRINCIPAL</x:v>
      </x:c>
      <x:c r="C8" s="9" t="str">
        <x:v>CIMENTACIÓN</x:v>
      </x:c>
      <x:c r="D8" s="9" t="str">
        <x:v>ACERO</x:v>
      </x:c>
      <x:c r="E8" s="9" t="str">
        <x:v>ALAMBRON DEL NO. 2, 0.248 KG/M (ANTES.992)</x:v>
      </x:c>
      <x:c r="F8" s="37" t="n">
        <x:v>6008.8</x:v>
      </x:c>
      <x:c r="G8" s="25" t="d">
        <x:v>2026-08-07T00:00:00.000Z</x:v>
      </x:c>
      <x:c r="H8" s="9" t="str">
        <x:v>ACEROS CABOS SA DE CV</x:v>
      </x:c>
      <x:c r="I8" s="9" t="str">
        <x:v>ACA-171687.pdf</x:v>
      </x:c>
      <x:c r="J8" s="9" t="str">
        <x:v>MATERIAL</x:v>
      </x:c>
      <x:c r="K8" s="9" t="str">
        <x:v>TRANSFERENCIA</x:v>
      </x:c>
      <x:c r="L8" s="9" t="str">
        <x:v>MXN</x:v>
      </x:c>
      <x:c r="M8" s="30"/>
      <x:c r="N8" s="30" t="n">
        <x:v>56</x:v>
      </x:c>
    </x:row>
    <x:row r="9" ht="42" customHeight="1">
      <x:c r="A9" s="9" t="str">
        <x:v>REV-001</x:v>
      </x:c>
      <x:c r="B9" s="9" t="str">
        <x:v>ACCESO_PRINCIPAL</x:v>
      </x:c>
      <x:c r="C9" s="9" t="str">
        <x:v>CIMENTACIÓN</x:v>
      </x:c>
      <x:c r="D9" s="9" t="str">
        <x:v>ACERO</x:v>
      </x:c>
      <x:c r="E9" s="9" t="str">
        <x:v>CLAVO DE PARA MADERA 4" X CAJA DE 25 KG</x:v>
      </x:c>
      <x:c r="F9" s="37" t="n">
        <x:v>951.08</x:v>
      </x:c>
      <x:c r="G9" s="25" t="d">
        <x:v>2026-08-07T00:00:00.000Z</x:v>
      </x:c>
      <x:c r="H9" s="9" t="str">
        <x:v>ACEROS CABOS SA DE CV</x:v>
      </x:c>
      <x:c r="I9" s="9" t="str">
        <x:v>ACA-171687.pdf</x:v>
      </x:c>
      <x:c r="J9" s="9" t="str">
        <x:v>MATERIAL</x:v>
      </x:c>
      <x:c r="K9" s="9" t="str">
        <x:v>TRANSFERENCIA</x:v>
      </x:c>
      <x:c r="L9" s="9" t="str">
        <x:v>MXN</x:v>
      </x:c>
      <x:c r="M9" s="30"/>
      <x:c r="N9" s="30" t="n">
        <x:v>57</x:v>
      </x:c>
    </x:row>
    <x:row r="10" ht="42" customHeight="1">
      <x:c r="A10" s="9" t="str">
        <x:v>REV-001</x:v>
      </x:c>
      <x:c r="B10" s="9" t="str">
        <x:v>ACCESO_PRINCIPAL</x:v>
      </x:c>
      <x:c r="C10" s="9" t="str">
        <x:v>CIMENTACIÓN</x:v>
      </x:c>
      <x:c r="D10" s="9" t="str">
        <x:v>ACERO</x:v>
      </x:c>
      <x:c r="E10" s="9" t="str">
        <x:v>CLAVO DE PARA MADERA 4" X CAJA DE 25 KG</x:v>
      </x:c>
      <x:c r="F10" s="37" t="n">
        <x:v>1082.28</x:v>
      </x:c>
      <x:c r="G10" s="25" t="d">
        <x:v>2026-08-07T00:00:00.000Z</x:v>
      </x:c>
      <x:c r="H10" s="9" t="str">
        <x:v>ACEROS CABOS SA DE CV</x:v>
      </x:c>
      <x:c r="I10" s="9" t="str">
        <x:v>ACA-171687.pdf</x:v>
      </x:c>
      <x:c r="J10" s="9" t="str">
        <x:v>MATERIAL</x:v>
      </x:c>
      <x:c r="K10" s="9" t="str">
        <x:v>TRANSFERENCIA</x:v>
      </x:c>
      <x:c r="L10" s="9" t="str">
        <x:v>MXN</x:v>
      </x:c>
      <x:c r="M10" s="30"/>
      <x:c r="N10" s="30" t="n">
        <x:v>58</x:v>
      </x:c>
    </x:row>
    <x:row r="11" ht="42" customHeight="1">
      <x:c r="A11" s="9" t="str">
        <x:v>REV-001</x:v>
      </x:c>
      <x:c r="B11" s="9" t="str">
        <x:v>ACCESO_PRINCIPAL</x:v>
      </x:c>
      <x:c r="C11" s="9" t="str">
        <x:v>CIMENTACIÓN</x:v>
      </x:c>
      <x:c r="D11" s="9" t="str">
        <x:v>ACERO</x:v>
      </x:c>
      <x:c r="E11" s="9" t="str">
        <x:v>CLAVOS PARA MADERA DE 2 1/2 X CAJA DE 25 KG</x:v>
      </x:c>
      <x:c r="F11" s="37" t="n">
        <x:v>1163.41</x:v>
      </x:c>
      <x:c r="G11" s="25" t="d">
        <x:v>2026-08-07T00:00:00.000Z</x:v>
      </x:c>
      <x:c r="H11" s="9" t="str">
        <x:v>ACEROS CABOS SA DE CV</x:v>
      </x:c>
      <x:c r="I11" s="9" t="str">
        <x:v>ACA-171687.pdf</x:v>
      </x:c>
      <x:c r="J11" s="9" t="str">
        <x:v>MATERIAL</x:v>
      </x:c>
      <x:c r="K11" s="9" t="str">
        <x:v>TRANSFERENCIA</x:v>
      </x:c>
      <x:c r="L11" s="9" t="str">
        <x:v>MXN</x:v>
      </x:c>
      <x:c r="M11" s="30"/>
      <x:c r="N11" s="30" t="n">
        <x:v>59</x:v>
      </x:c>
    </x:row>
    <x:row r="12" ht="42" customHeight="1">
      <x:c r="A12" s="9" t="str">
        <x:v>REV-001</x:v>
      </x:c>
      <x:c r="B12" s="9" t="str">
        <x:v>ACCESO_PRINCIPAL</x:v>
      </x:c>
      <x:c r="C12" s="9" t="str">
        <x:v>CIMENTACIÓN</x:v>
      </x:c>
      <x:c r="D12" s="9" t="str">
        <x:v>ACERO</x:v>
      </x:c>
      <x:c r="E12" s="9" t="str">
        <x:v>VARILLA DEL NO. 3 (3/8"), 0.557 KG/M</x:v>
      </x:c>
      <x:c r="F12" s="37" t="n">
        <x:v>13607.26</x:v>
      </x:c>
      <x:c r="G12" s="25" t="d">
        <x:v>2026-08-07T00:00:00.000Z</x:v>
      </x:c>
      <x:c r="H12" s="9" t="str">
        <x:v>ACEROS CABOS SA DE CV</x:v>
      </x:c>
      <x:c r="I12" s="9" t="str">
        <x:v>ACA-171687.pdf</x:v>
      </x:c>
      <x:c r="J12" s="9" t="str">
        <x:v>MATERIAL</x:v>
      </x:c>
      <x:c r="K12" s="9" t="str">
        <x:v>TRANSFERENCIA</x:v>
      </x:c>
      <x:c r="L12" s="9" t="str">
        <x:v>MXN</x:v>
      </x:c>
      <x:c r="M12" s="30"/>
      <x:c r="N12" s="30" t="n">
        <x:v>60</x:v>
      </x:c>
    </x:row>
    <x:row r="13" ht="42" customHeight="1">
      <x:c r="A13" s="9" t="str">
        <x:v>REV-001</x:v>
      </x:c>
      <x:c r="B13" s="9" t="str">
        <x:v>ACCESO_PRINCIPAL</x:v>
      </x:c>
      <x:c r="C13" s="9" t="str">
        <x:v>CIMENTACIÓN</x:v>
      </x:c>
      <x:c r="D13" s="9" t="str">
        <x:v>ACERO</x:v>
      </x:c>
      <x:c r="E13" s="9" t="str">
        <x:v>VARILLA DEL NO. 4 (1/2"), 0.996 KG/M</x:v>
      </x:c>
      <x:c r="F13" s="37" t="n">
        <x:v>45271.09</x:v>
      </x:c>
      <x:c r="G13" s="25" t="d">
        <x:v>2026-08-07T00:00:00.000Z</x:v>
      </x:c>
      <x:c r="H13" s="9" t="str">
        <x:v>ACEROS CABOS SA DE CV</x:v>
      </x:c>
      <x:c r="I13" s="9" t="str">
        <x:v>ACA-171687.pdf</x:v>
      </x:c>
      <x:c r="J13" s="9" t="str">
        <x:v>MATERIAL</x:v>
      </x:c>
      <x:c r="K13" s="9" t="str">
        <x:v>TRANSFERENCIA</x:v>
      </x:c>
      <x:c r="L13" s="9" t="str">
        <x:v>MXN</x:v>
      </x:c>
      <x:c r="M13" s="30"/>
      <x:c r="N13" s="30" t="n">
        <x:v>61</x:v>
      </x:c>
    </x:row>
    <x:row r="14" ht="42" customHeight="1">
      <x:c r="A14" s="9" t="str">
        <x:v>REV-001</x:v>
      </x:c>
      <x:c r="B14" s="9" t="str">
        <x:v>ACCESO_PRINCIPAL</x:v>
      </x:c>
      <x:c r="C14" s="9" t="str">
        <x:v>CIMENTACIÓN</x:v>
      </x:c>
      <x:c r="D14" s="9" t="str">
        <x:v>ACERO</x:v>
      </x:c>
      <x:c r="E14" s="9" t="str">
        <x:v>VARILLA DEL NO. 5 (5/8"), 1.56 KG/M</x:v>
      </x:c>
      <x:c r="F14" s="37" t="n">
        <x:v>25139.52</x:v>
      </x:c>
      <x:c r="G14" s="25" t="d">
        <x:v>2026-08-07T00:00:00.000Z</x:v>
      </x:c>
      <x:c r="H14" s="9" t="str">
        <x:v>ACEROS CABOS SA DE CV</x:v>
      </x:c>
      <x:c r="I14" s="9" t="str">
        <x:v>ACA-171687.pdf</x:v>
      </x:c>
      <x:c r="J14" s="9" t="str">
        <x:v>MATERIAL</x:v>
      </x:c>
      <x:c r="K14" s="9" t="str">
        <x:v>TRANSFERENCIA</x:v>
      </x:c>
      <x:c r="L14" s="9" t="str">
        <x:v>MXN</x:v>
      </x:c>
      <x:c r="M14" s="30"/>
      <x:c r="N14" s="30" t="n">
        <x:v>62</x:v>
      </x:c>
    </x:row>
    <x:row r="15" ht="42" customHeight="1">
      <x:c r="A15" s="9" t="str">
        <x:v>REV-001</x:v>
      </x:c>
      <x:c r="B15" s="9" t="str">
        <x:v>ACCESO_PRINCIPAL</x:v>
      </x:c>
      <x:c r="C15" s="9" t="str">
        <x:v>CIMENTACIÓN</x:v>
      </x:c>
      <x:c r="D15" s="9" t="str">
        <x:v>IMPERMEABILIZANTES</x:v>
      </x:c>
      <x:c r="E15" s="9" t="str">
        <x:v>PLASTICO NEGRO NMICRAS</x:v>
      </x:c>
      <x:c r="F15" s="37" t="n">
        <x:v>4503</x:v>
      </x:c>
      <x:c r="G15" s="25" t="d">
        <x:v>2026-08-07T00:00:00.000Z</x:v>
      </x:c>
      <x:c r="H15" s="9" t="str">
        <x:v>ACEROS CABOS SA DE CV</x:v>
      </x:c>
      <x:c r="I15" s="9" t="str">
        <x:v>ACA-171687.pdf</x:v>
      </x:c>
      <x:c r="J15" s="9" t="str">
        <x:v>MATERIAL</x:v>
      </x:c>
      <x:c r="K15" s="9" t="str">
        <x:v>TRANSFERENCIA</x:v>
      </x:c>
      <x:c r="L15" s="9" t="str">
        <x:v>MXN</x:v>
      </x:c>
      <x:c r="M15" s="30"/>
      <x:c r="N15" s="30" t="n">
        <x:v>69</x:v>
      </x:c>
    </x:row>
    <x:row r="16" ht="42" customHeight="1">
      <x:c r="A16" s="9" t="str">
        <x:v>REV-002</x:v>
      </x:c>
      <x:c r="B16" s="9" t="str">
        <x:v>ACCESO_PRINCIPAL</x:v>
      </x:c>
      <x:c r="C16" s="9" t="str">
        <x:v>PRELIMINARES</x:v>
      </x:c>
      <x:c r="D16" s="9" t="str">
        <x:v>SUBCONTRATOS</x:v>
      </x:c>
      <x:c r="E16" s="9" t="str">
        <x:v>FUMIGACION ANTIPOLILLA ACCESO LARENA</x:v>
      </x:c>
      <x:c r="F16" s="37" t="n">
        <x:v>10857.6</x:v>
      </x:c>
      <x:c r="G16" s="25" t="d">
        <x:v>2026-08-07T00:00:00.000Z</x:v>
      </x:c>
      <x:c r="H16" s="9" t="str">
        <x:v>SERVICIOS DE LIMPIEZA INTEGRAL SANPAMENS S DE RL DE CV</x:v>
      </x:c>
      <x:c r="I16" s="9" t="str">
        <x:v>AME-HOA-260430.pdf</x:v>
      </x:c>
      <x:c r="J16" s="9" t="str">
        <x:v>MATERIAL</x:v>
      </x:c>
      <x:c r="K16" s="9" t="str">
        <x:v>TRANSFERENCIA</x:v>
      </x:c>
      <x:c r="L16" s="9" t="str">
        <x:v>MXN</x:v>
      </x:c>
      <x:c r="M16" s="30"/>
      <x:c r="N16" s="30" t="n">
        <x:v>132</x:v>
      </x:c>
    </x:row>
    <x:row r="17" ht="42" customHeight="1">
      <x:c r="A17" s="9" t="str">
        <x:v>REV-003</x:v>
      </x:c>
      <x:c r="B17" s="9" t="str">
        <x:v>ACCESO_PRINCIPAL</x:v>
      </x:c>
      <x:c r="C17" s="9" t="str">
        <x:v>MUROS_PB</x:v>
      </x:c>
      <x:c r="D17" s="9" t="str">
        <x:v>CEMENTANTES</x:v>
      </x:c>
      <x:c r="E17" s="9" t="str">
        <x:v>CEMENTO GRIS</x:v>
      </x:c>
      <x:c r="F17" s="37" t="n">
        <x:v>14961.68</x:v>
      </x:c>
      <x:c r="G17" s="25" t="d">
        <x:v>2026-08-24T00:00:00.000Z</x:v>
      </x:c>
      <x:c r="H17" s="9" t="str">
        <x:v>CONCRETOS EL PALMAR (VILLAGOMEZ JURADO)</x:v>
      </x:c>
      <x:c r="I17" s="9" t="str">
        <x:v>PLM-500118009.pdf</x:v>
      </x:c>
      <x:c r="J17" s="9" t="str">
        <x:v>MATERIAL</x:v>
      </x:c>
      <x:c r="K17" s="9" t="str">
        <x:v>TRANSFERENCIA</x:v>
      </x:c>
      <x:c r="L17" s="9" t="str">
        <x:v>MXN</x:v>
      </x:c>
      <x:c r="M17" s="30"/>
      <x:c r="N17" s="30" t="n">
        <x:v>103</x:v>
      </x:c>
    </x:row>
    <x:row r="18" ht="42" customHeight="1">
      <x:c r="A18" s="9" t="str">
        <x:v>REV-003</x:v>
      </x:c>
      <x:c r="B18" s="9" t="str">
        <x:v>ACCESO_PRINCIPAL</x:v>
      </x:c>
      <x:c r="C18" s="9" t="str">
        <x:v>MUROS_PB</x:v>
      </x:c>
      <x:c r="D18" s="9" t="str">
        <x:v>CEMENTANTES</x:v>
      </x:c>
      <x:c r="E18" s="9" t="str">
        <x:v>MORTERO CEMEX ALTA ADHERENCIA</x:v>
      </x:c>
      <x:c r="F18" s="37" t="n">
        <x:v>6364.92</x:v>
      </x:c>
      <x:c r="G18" s="25" t="d">
        <x:v>2026-08-24T00:00:00.000Z</x:v>
      </x:c>
      <x:c r="H18" s="9" t="str">
        <x:v>CONCRETOS EL PALMAR (VILLAGOMEZ JURADO)</x:v>
      </x:c>
      <x:c r="I18" s="9" t="str">
        <x:v>PLM-500118009.pdf</x:v>
      </x:c>
      <x:c r="J18" s="9" t="str">
        <x:v>MATERIAL</x:v>
      </x:c>
      <x:c r="K18" s="9" t="str">
        <x:v>TRANSFERENCIA</x:v>
      </x:c>
      <x:c r="L18" s="9" t="str">
        <x:v>MXN</x:v>
      </x:c>
      <x:c r="M18" s="30"/>
      <x:c r="N18" s="30" t="n">
        <x:v>104</x:v>
      </x:c>
    </x:row>
    <x:row r="19" ht="42" customHeight="1">
      <x:c r="A19" s="9" t="str">
        <x:v>REV-003</x:v>
      </x:c>
      <x:c r="B19" s="9" t="str">
        <x:v>ACCESO_PRINCIPAL</x:v>
      </x:c>
      <x:c r="C19" s="9" t="str">
        <x:v>MUROS_PB</x:v>
      </x:c>
      <x:c r="D19" s="9" t="str">
        <x:v>PREFABRICADOS</x:v>
      </x:c>
      <x:c r="E19" s="9" t="str">
        <x:v>BLOCK HUECO DE CONCRETO DE 15 x 20 x 40 CM. RESIST 90</x:v>
      </x:c>
      <x:c r="F19" s="37" t="n">
        <x:v>10857.6</x:v>
      </x:c>
      <x:c r="G19" s="25" t="d">
        <x:v>2026-08-24T00:00:00.000Z</x:v>
      </x:c>
      <x:c r="H19" s="9" t="str">
        <x:v>CONCRETOS EL PALMAR (VILLAGOMEZ JURADO)</x:v>
      </x:c>
      <x:c r="I19" s="9" t="str">
        <x:v>PLM-500118009.pdf</x:v>
      </x:c>
      <x:c r="J19" s="9" t="str">
        <x:v>MATERIAL</x:v>
      </x:c>
      <x:c r="K19" s="9" t="str">
        <x:v>TRANSFERENCIA</x:v>
      </x:c>
      <x:c r="L19" s="9" t="str">
        <x:v>MXN</x:v>
      </x:c>
      <x:c r="M19" s="30"/>
      <x:c r="N19" s="30" t="n">
        <x:v>130</x:v>
      </x:c>
    </x:row>
    <x:row r="20" ht="42" customHeight="1">
      <x:c r="A20" s="9" t="str">
        <x:v>REV-003</x:v>
      </x:c>
      <x:c r="B20" s="9" t="str">
        <x:v>ACCESO_PRINCIPAL</x:v>
      </x:c>
      <x:c r="C20" s="9" t="str">
        <x:v>MUROS_PB</x:v>
      </x:c>
      <x:c r="D20" s="9" t="str">
        <x:v>PREFABRICADOS</x:v>
      </x:c>
      <x:c r="E20" s="9" t="str">
        <x:v>BLOCK HUECO DE CONCRETO DE 15 x 20 x 40 CM. RESIST 90</x:v>
      </x:c>
      <x:c r="F20" s="37" t="n">
        <x:v>98061.18</x:v>
      </x:c>
      <x:c r="G20" s="25" t="d">
        <x:v>2026-08-24T00:00:00.000Z</x:v>
      </x:c>
      <x:c r="H20" s="9" t="str">
        <x:v>CONCRETOS EL PALMAR (VILLAGOMEZ JURADO)</x:v>
      </x:c>
      <x:c r="I20" s="9" t="str">
        <x:v>PLM-500118009.pdf</x:v>
      </x:c>
      <x:c r="J20" s="9" t="str">
        <x:v>MATERIAL</x:v>
      </x:c>
      <x:c r="K20" s="9" t="str">
        <x:v>TRANSFERENCIA</x:v>
      </x:c>
      <x:c r="L20" s="9" t="str">
        <x:v>MXN</x:v>
      </x:c>
      <x:c r="M20" s="30"/>
      <x:c r="N20" s="30" t="n">
        <x:v>131</x:v>
      </x:c>
    </x:row>
    <x:row r="21" ht="42" customHeight="1">
      <x:c r="A21" s="9" t="str">
        <x:v>REV-004</x:v>
      </x:c>
      <x:c r="B21" s="9" t="str">
        <x:v>TORRE_G</x:v>
      </x:c>
      <x:c r="C21" s="9" t="str">
        <x:v>ALBAÑILERÍAS</x:v>
      </x:c>
      <x:c r="D21" s="9" t="str">
        <x:v>CONCRETOS</x:v>
      </x:c>
      <x:c r="E21" s="9" t="str">
        <x:v>BOMBEO C/BOMBA PLUMA DE 36  MTS.</x:v>
      </x:c>
      <x:c r="F21" s="37" t="n">
        <x:v>3654</x:v>
      </x:c>
      <x:c r="G21" s="25" t="d">
        <x:v>2026-08-07T00:00:00.000Z</x:v>
      </x:c>
      <x:c r="H21" s="9" t="str">
        <x:v>LUXIDA CONCRETOS S DE RL DE CV</x:v>
      </x:c>
      <x:c r="I21" s="9" t="str">
        <x:v>LCO-10289.pdf</x:v>
      </x:c>
      <x:c r="J21" s="9" t="str">
        <x:v>MATERIAL</x:v>
      </x:c>
      <x:c r="K21" s="9" t="str">
        <x:v>TRANSFERENCIA</x:v>
      </x:c>
      <x:c r="L21" s="9" t="str">
        <x:v>MXN</x:v>
      </x:c>
      <x:c r="M21" s="30"/>
      <x:c r="N21" s="30" t="n">
        <x:v>208</x:v>
      </x:c>
    </x:row>
    <x:row r="22" ht="42" customHeight="1">
      <x:c r="A22" s="9" t="str">
        <x:v>REV-004</x:v>
      </x:c>
      <x:c r="B22" s="9" t="str">
        <x:v>TORRE_G</x:v>
      </x:c>
      <x:c r="C22" s="9" t="str">
        <x:v>ALBAÑILERÍAS</x:v>
      </x:c>
      <x:c r="D22" s="9" t="str">
        <x:v>CONCRETOS</x:v>
      </x:c>
      <x:c r="E22" s="9" t="str">
        <x:v>BOMBEO C/BOMBA PLUMA DE 36  MTS.</x:v>
      </x:c>
      <x:c r="F22" s="37" t="n">
        <x:v>4802.4</x:v>
      </x:c>
      <x:c r="G22" s="25" t="d">
        <x:v>2026-08-07T00:00:00.000Z</x:v>
      </x:c>
      <x:c r="H22" s="9" t="str">
        <x:v>LUXIDA CONCRETOS S DE RL DE CV</x:v>
      </x:c>
      <x:c r="I22" s="9" t="str">
        <x:v>LCO-10289.pdf</x:v>
      </x:c>
      <x:c r="J22" s="9" t="str">
        <x:v>MATERIAL</x:v>
      </x:c>
      <x:c r="K22" s="9" t="str">
        <x:v>TRANSFERENCIA</x:v>
      </x:c>
      <x:c r="L22" s="9" t="str">
        <x:v>MXN</x:v>
      </x:c>
      <x:c r="M22" s="30"/>
      <x:c r="N22" s="30" t="n">
        <x:v>209</x:v>
      </x:c>
    </x:row>
    <x:row r="23" ht="42" customHeight="1">
      <x:c r="A23" s="9" t="str">
        <x:v>REV-004</x:v>
      </x:c>
      <x:c r="B23" s="9" t="str">
        <x:v>TORRE_G</x:v>
      </x:c>
      <x:c r="C23" s="9" t="str">
        <x:v>ALBAÑILERÍAS</x:v>
      </x:c>
      <x:c r="D23" s="9" t="str">
        <x:v>CONCRETOS</x:v>
      </x:c>
      <x:c r="E23" s="9" t="str">
        <x:v>CONCRETO CLASE 1 FC250</x:v>
      </x:c>
      <x:c r="F23" s="37" t="n">
        <x:v>29655.66</x:v>
      </x:c>
      <x:c r="G23" s="25" t="d">
        <x:v>2026-08-07T00:00:00.000Z</x:v>
      </x:c>
      <x:c r="H23" s="9" t="str">
        <x:v>LUXIDA CONCRETOS S DE RL DE CV</x:v>
      </x:c>
      <x:c r="I23" s="9" t="str">
        <x:v>LCO-10289.pdf</x:v>
      </x:c>
      <x:c r="J23" s="9" t="str">
        <x:v>MATERIAL</x:v>
      </x:c>
      <x:c r="K23" s="9" t="str">
        <x:v>TRANSFERENCIA</x:v>
      </x:c>
      <x:c r="L23" s="9" t="str">
        <x:v>MXN</x:v>
      </x:c>
      <x:c r="M23" s="30"/>
      <x:c r="N23" s="30" t="n">
        <x:v>211</x:v>
      </x:c>
    </x:row>
    <x:row r="24" ht="42" customHeight="1">
      <x:c r="A24" s="9" t="str">
        <x:v>REV-005</x:v>
      </x:c>
      <x:c r="B24" s="9" t="str">
        <x:v>TORRE_G</x:v>
      </x:c>
      <x:c r="C24" s="9" t="str">
        <x:v>ALBAÑILERÍAS</x:v>
      </x:c>
      <x:c r="D24" s="9" t="str">
        <x:v>CONCRETOS</x:v>
      </x:c>
      <x:c r="E24" s="9" t="str">
        <x:v>BOMBEO C/BOMBA PLUMA DE 36  MTS.</x:v>
      </x:c>
      <x:c r="F24" s="37" t="n">
        <x:v>406</x:v>
      </x:c>
      <x:c r="G24" s="25" t="d">
        <x:v>2026-08-07T00:00:00.000Z</x:v>
      </x:c>
      <x:c r="H24" s="9" t="str">
        <x:v>LUXIDA CONCRETOS S DE RL DE CV</x:v>
      </x:c>
      <x:c r="I24" s="9" t="str">
        <x:v>LCO-10355.pdf</x:v>
      </x:c>
      <x:c r="J24" s="9" t="str">
        <x:v>MATERIAL</x:v>
      </x:c>
      <x:c r="K24" s="9" t="str">
        <x:v>TRANSFERENCIA</x:v>
      </x:c>
      <x:c r="L24" s="9" t="str">
        <x:v>MXN</x:v>
      </x:c>
      <x:c r="M24" s="30"/>
      <x:c r="N24" s="30" t="n">
        <x:v>207</x:v>
      </x:c>
    </x:row>
    <x:row r="25" ht="42" customHeight="1">
      <x:c r="A25" s="9" t="str">
        <x:v>REV-005</x:v>
      </x:c>
      <x:c r="B25" s="9" t="str">
        <x:v>TORRE_G</x:v>
      </x:c>
      <x:c r="C25" s="9" t="str">
        <x:v>ALBAÑILERÍAS</x:v>
      </x:c>
      <x:c r="D25" s="9" t="str">
        <x:v>CONCRETOS</x:v>
      </x:c>
      <x:c r="E25" s="9" t="str">
        <x:v>CONCRETO CLASE 1 FC250</x:v>
      </x:c>
      <x:c r="F25" s="37" t="n">
        <x:v>11567.59</x:v>
      </x:c>
      <x:c r="G25" s="25" t="d">
        <x:v>2026-08-07T00:00:00.000Z</x:v>
      </x:c>
      <x:c r="H25" s="9" t="str">
        <x:v>LUXIDA CONCRETOS S DE RL DE CV</x:v>
      </x:c>
      <x:c r="I25" s="9" t="str">
        <x:v>LCO-10355.pdf</x:v>
      </x:c>
      <x:c r="J25" s="9" t="str">
        <x:v>MATERIAL</x:v>
      </x:c>
      <x:c r="K25" s="9" t="str">
        <x:v>TRANSFERENCIA</x:v>
      </x:c>
      <x:c r="L25" s="9" t="str">
        <x:v>MXN</x:v>
      </x:c>
      <x:c r="M25" s="30"/>
      <x:c r="N25" s="30" t="n">
        <x:v>210</x:v>
      </x:c>
    </x:row>
    <x:row r="26" ht="42" customHeight="1">
      <x:c r="A26" s="9" t="str">
        <x:v>REV-006</x:v>
      </x:c>
      <x:c r="B26" s="9" t="str">
        <x:v>TORRE_G</x:v>
      </x:c>
      <x:c r="C26" s="9" t="str">
        <x:v>MÁRMOL</x:v>
      </x:c>
      <x:c r="D26" s="9" t="str">
        <x:v>COLOCACION BAÑOS (LAMBRINES REGADERA Y WC)</x:v>
      </x:c>
      <x:c r="E26" s="9" t="str">
        <x:v>MANO_OBRA</x:v>
      </x:c>
      <x:c r="F26" s="37" t="n">
        <x:v>7875.16</x:v>
      </x:c>
      <x:c r="G26" s="25" t="d">
        <x:v>2026-08-10T00:00:00.000Z</x:v>
      </x:c>
      <x:c r="H26" s="9" t="str">
        <x:v>DISPERSIÓN</x:v>
      </x:c>
      <x:c r="I26" s="9" t="str">
        <x:v>DIS-BAOS-10082026.pdf</x:v>
      </x:c>
      <x:c r="J26" s="9" t="str">
        <x:v>OTRO</x:v>
      </x:c>
      <x:c r="K26" s="9" t="str">
        <x:v>TRANSFERENCIA</x:v>
      </x:c>
      <x:c r="L26" s="9" t="str">
        <x:v>MXN</x:v>
      </x:c>
      <x:c r="M26" s="30" t="n">
        <x:v>3</x:v>
      </x:c>
      <x:c r="N26" s="30" t="n">
        <x:v>972</x:v>
      </x:c>
    </x:row>
    <x:row r="27" ht="42" customHeight="1">
      <x:c r="A27" s="9" t="str">
        <x:v>REV-006</x:v>
      </x:c>
      <x:c r="B27" s="9" t="str">
        <x:v>TORRE_G</x:v>
      </x:c>
      <x:c r="C27" s="9" t="str">
        <x:v>MÁRMOL</x:v>
      </x:c>
      <x:c r="D27" s="9" t="str">
        <x:v>COLOCACION BAÑOS (LAMBRINES REGADERA Y WC)</x:v>
      </x:c>
      <x:c r="E27" s="9" t="str">
        <x:v>MANO_OBRA</x:v>
      </x:c>
      <x:c r="F27" s="37" t="n">
        <x:v>11850</x:v>
      </x:c>
      <x:c r="G27" s="25" t="d">
        <x:v>2026-08-10T00:00:00.000Z</x:v>
      </x:c>
      <x:c r="H27" s="9" t="str">
        <x:v>DISPERSIÓN</x:v>
      </x:c>
      <x:c r="I27" s="9" t="str">
        <x:v>DIS-BAOS-10082026.pdf</x:v>
      </x:c>
      <x:c r="J27" s="9" t="str">
        <x:v>OTRO</x:v>
      </x:c>
      <x:c r="K27" s="9" t="str">
        <x:v>TRANSFERENCIA</x:v>
      </x:c>
      <x:c r="L27" s="9" t="str">
        <x:v>MXN</x:v>
      </x:c>
      <x:c r="M27" s="30" t="n">
        <x:v>4</x:v>
      </x:c>
      <x:c r="N27" s="30" t="n">
        <x:v>973</x:v>
      </x:c>
    </x:row>
    <x:row r="28" ht="42" customHeight="1">
      <x:c r="A28" s="9" t="str">
        <x:v>REV-006</x:v>
      </x:c>
      <x:c r="B28" s="9" t="str">
        <x:v>TORRE_G</x:v>
      </x:c>
      <x:c r="C28" s="9" t="str">
        <x:v>MÁRMOL</x:v>
      </x:c>
      <x:c r="D28" s="9" t="str">
        <x:v>COLOCACION BAÑOS (LAMBRINES REGADERA Y WC)</x:v>
      </x:c>
      <x:c r="E28" s="9" t="str">
        <x:v>MANO_OBRA</x:v>
      </x:c>
      <x:c r="F28" s="37" t="n">
        <x:v>13681.37</x:v>
      </x:c>
      <x:c r="G28" s="25" t="d">
        <x:v>2026-08-10T00:00:00.000Z</x:v>
      </x:c>
      <x:c r="H28" s="9" t="str">
        <x:v>DISPERSIÓN</x:v>
      </x:c>
      <x:c r="I28" s="9" t="str">
        <x:v>DIS-BAOS-10082026.pdf</x:v>
      </x:c>
      <x:c r="J28" s="9" t="str">
        <x:v>OTRO</x:v>
      </x:c>
      <x:c r="K28" s="9" t="str">
        <x:v>TRANSFERENCIA</x:v>
      </x:c>
      <x:c r="L28" s="9" t="str">
        <x:v>MXN</x:v>
      </x:c>
      <x:c r="M28" s="30"/>
      <x:c r="N28" s="30" t="n">
        <x:v>974</x:v>
      </x:c>
    </x:row>
    <x:row r="29" ht="42" customHeight="1">
      <x:c r="A29" s="9" t="str">
        <x:v>REV-007</x:v>
      </x:c>
      <x:c r="B29" s="9" t="str">
        <x:v>TORRE_G</x:v>
      </x:c>
      <x:c r="C29" s="9" t="str">
        <x:v>ALBAÑILERÍAS</x:v>
      </x:c>
      <x:c r="D29" s="9" t="str">
        <x:v>MANO_OBRA</x:v>
      </x:c>
      <x:c r="E29" s="9" t="str">
        <x:v>AYUDANTE DE ALBAÑIL</x:v>
      </x:c>
      <x:c r="F29" s="37" t="n">
        <x:v>8184</x:v>
      </x:c>
      <x:c r="G29" s="25" t="d">
        <x:v>2026-08-10T00:00:00.000Z</x:v>
      </x:c>
      <x:c r="H29" s="9" t="str">
        <x:v>DISPERSIÓN</x:v>
      </x:c>
      <x:c r="I29" s="9" t="str">
        <x:v>DIS-LARENAG-10082026.pdf</x:v>
      </x:c>
      <x:c r="J29" s="9" t="str">
        <x:v>OTRO</x:v>
      </x:c>
      <x:c r="K29" s="9" t="str">
        <x:v>TRANSFERENCIA</x:v>
      </x:c>
      <x:c r="L29" s="9" t="str">
        <x:v>MXN</x:v>
      </x:c>
      <x:c r="M29" s="30" t="n">
        <x:v>3</x:v>
      </x:c>
      <x:c r="N29" s="30" t="n">
        <x:v>528</x:v>
      </x:c>
    </x:row>
    <x:row r="30" ht="42" customHeight="1">
      <x:c r="A30" s="9" t="str">
        <x:v>REV-007</x:v>
      </x:c>
      <x:c r="B30" s="9" t="str">
        <x:v>TORRE_G</x:v>
      </x:c>
      <x:c r="C30" s="9" t="str">
        <x:v>ALBAÑILERÍAS</x:v>
      </x:c>
      <x:c r="D30" s="9" t="str">
        <x:v>MANO_OBRA</x:v>
      </x:c>
      <x:c r="E30" s="9" t="str">
        <x:v>CABO DE OFICIOS</x:v>
      </x:c>
      <x:c r="F30" s="37" t="n">
        <x:v>5152</x:v>
      </x:c>
      <x:c r="G30" s="25" t="d">
        <x:v>2026-08-10T00:00:00.000Z</x:v>
      </x:c>
      <x:c r="H30" s="9" t="str">
        <x:v>DISPERSIÓN</x:v>
      </x:c>
      <x:c r="I30" s="9" t="str">
        <x:v>DIS-LARENAG-10082026.pdf</x:v>
      </x:c>
      <x:c r="J30" s="9" t="str">
        <x:v>OTRO</x:v>
      </x:c>
      <x:c r="K30" s="9" t="str">
        <x:v>TRANSFERENCIA</x:v>
      </x:c>
      <x:c r="L30" s="9" t="str">
        <x:v>MXN</x:v>
      </x:c>
      <x:c r="M30" s="30" t="n">
        <x:v>1</x:v>
      </x:c>
      <x:c r="N30" s="30" t="n">
        <x:v>530</x:v>
      </x:c>
    </x:row>
    <x:row r="31" ht="42" customHeight="1">
      <x:c r="A31" s="9" t="str">
        <x:v>REV-007</x:v>
      </x:c>
      <x:c r="B31" s="9" t="str">
        <x:v>TORRE_G</x:v>
      </x:c>
      <x:c r="C31" s="9" t="str">
        <x:v>ALBAÑILERÍAS</x:v>
      </x:c>
      <x:c r="D31" s="9" t="str">
        <x:v>MANO_OBRA</x:v>
      </x:c>
      <x:c r="E31" s="9" t="str">
        <x:v>FASAR 36+IVA%</x:v>
      </x:c>
      <x:c r="F31" s="37" t="n">
        <x:v>31167.61</x:v>
      </x:c>
      <x:c r="G31" s="25" t="d">
        <x:v>2026-08-10T00:00:00.000Z</x:v>
      </x:c>
      <x:c r="H31" s="9" t="str">
        <x:v>DISPERSIÓN</x:v>
      </x:c>
      <x:c r="I31" s="9" t="str">
        <x:v>DIS-LARENAG-10082026.pdf</x:v>
      </x:c>
      <x:c r="J31" s="9" t="str">
        <x:v>OTRO</x:v>
      </x:c>
      <x:c r="K31" s="9" t="str">
        <x:v>TRANSFERENCIA</x:v>
      </x:c>
      <x:c r="L31" s="9" t="str">
        <x:v>MXN</x:v>
      </x:c>
      <x:c r="M31" s="30"/>
      <x:c r="N31" s="30" t="n">
        <x:v>531</x:v>
      </x:c>
    </x:row>
    <x:row r="32" ht="42" customHeight="1">
      <x:c r="A32" s="9" t="str">
        <x:v>REV-007</x:v>
      </x:c>
      <x:c r="B32" s="9" t="str">
        <x:v>TORRE_G</x:v>
      </x:c>
      <x:c r="C32" s="9" t="str">
        <x:v>ALBAÑILERÍAS</x:v>
      </x:c>
      <x:c r="D32" s="9" t="str">
        <x:v>MANO_OBRA</x:v>
      </x:c>
      <x:c r="E32" s="9" t="str">
        <x:v>OFICIAL ALBAÑIL</x:v>
      </x:c>
      <x:c r="F32" s="37" t="n">
        <x:v>27650</x:v>
      </x:c>
      <x:c r="G32" s="25" t="d">
        <x:v>2026-08-10T00:00:00.000Z</x:v>
      </x:c>
      <x:c r="H32" s="9" t="str">
        <x:v>DISPERSIÓN</x:v>
      </x:c>
      <x:c r="I32" s="9" t="str">
        <x:v>DIS-LARENAG-10082026.pdf</x:v>
      </x:c>
      <x:c r="J32" s="9" t="str">
        <x:v>OTRO</x:v>
      </x:c>
      <x:c r="K32" s="9" t="str">
        <x:v>TRANSFERENCIA</x:v>
      </x:c>
      <x:c r="L32" s="9" t="str">
        <x:v>MXN</x:v>
      </x:c>
      <x:c r="M32" s="30" t="n">
        <x:v>7</x:v>
      </x:c>
      <x:c r="N32" s="30" t="n">
        <x:v>533</x:v>
      </x:c>
    </x:row>
    <x:row r="33" ht="42" customHeight="1">
      <x:c r="A33" s="9" t="str">
        <x:v>REV-007</x:v>
      </x:c>
      <x:c r="B33" s="9" t="str">
        <x:v>TORRE_G</x:v>
      </x:c>
      <x:c r="C33" s="9" t="str">
        <x:v>ALBAÑILERÍAS</x:v>
      </x:c>
      <x:c r="D33" s="9" t="str">
        <x:v>MANO_OBRA</x:v>
      </x:c>
      <x:c r="E33" s="9" t="str">
        <x:v>OFICIAL FIERRERO</x:v>
      </x:c>
      <x:c r="F33" s="37" t="n">
        <x:v>3950</x:v>
      </x:c>
      <x:c r="G33" s="25" t="d">
        <x:v>2026-08-10T00:00:00.000Z</x:v>
      </x:c>
      <x:c r="H33" s="9" t="str">
        <x:v>DISPERSIÓN</x:v>
      </x:c>
      <x:c r="I33" s="9" t="str">
        <x:v>DIS-LARENAG-10082026.pdf</x:v>
      </x:c>
      <x:c r="J33" s="9" t="str">
        <x:v>OTRO</x:v>
      </x:c>
      <x:c r="K33" s="9" t="str">
        <x:v>TRANSFERENCIA</x:v>
      </x:c>
      <x:c r="L33" s="9" t="str">
        <x:v>MXN</x:v>
      </x:c>
      <x:c r="M33" s="30" t="n">
        <x:v>1</x:v>
      </x:c>
      <x:c r="N33" s="30" t="n">
        <x:v>535</x:v>
      </x:c>
    </x:row>
    <x:row r="34" ht="42" customHeight="1">
      <x:c r="A34" s="9" t="str">
        <x:v>REV-008</x:v>
      </x:c>
      <x:c r="B34" s="9" t="str">
        <x:v>TORRE_G</x:v>
      </x:c>
      <x:c r="C34" s="9" t="str">
        <x:v>MÁRMOL</x:v>
      </x:c>
      <x:c r="D34" s="9" t="str">
        <x:v>COLOCACION CALIZA</x:v>
      </x:c>
      <x:c r="E34" s="9" t="str">
        <x:v>MANO_OBRA</x:v>
      </x:c>
      <x:c r="F34" s="37" t="n">
        <x:v>4551</x:v>
      </x:c>
      <x:c r="G34" s="25" t="d">
        <x:v>2026-08-10T00:00:00.000Z</x:v>
      </x:c>
      <x:c r="H34" s="9" t="str">
        <x:v>DISPERSIÓN</x:v>
      </x:c>
      <x:c r="I34" s="9" t="str">
        <x:v>DIS-MCALIZATOR-10082026.pdf</x:v>
      </x:c>
      <x:c r="J34" s="9" t="str">
        <x:v>OTRO</x:v>
      </x:c>
      <x:c r="K34" s="9" t="str">
        <x:v>TRANSFERENCIA</x:v>
      </x:c>
      <x:c r="L34" s="9" t="str">
        <x:v>MXN</x:v>
      </x:c>
      <x:c r="M34" s="30" t="n">
        <x:v>1</x:v>
      </x:c>
      <x:c r="N34" s="30" t="n">
        <x:v>997</x:v>
      </x:c>
    </x:row>
    <x:row r="35" ht="42" customHeight="1">
      <x:c r="A35" s="9" t="str">
        <x:v>REV-008</x:v>
      </x:c>
      <x:c r="B35" s="9" t="str">
        <x:v>TORRE_G</x:v>
      </x:c>
      <x:c r="C35" s="9" t="str">
        <x:v>MÁRMOL</x:v>
      </x:c>
      <x:c r="D35" s="9" t="str">
        <x:v>COLOCACION CALIZA</x:v>
      </x:c>
      <x:c r="E35" s="9" t="str">
        <x:v>MANO_OBRA</x:v>
      </x:c>
      <x:c r="F35" s="37" t="n">
        <x:v>7071</x:v>
      </x:c>
      <x:c r="G35" s="25" t="d">
        <x:v>2026-08-10T00:00:00.000Z</x:v>
      </x:c>
      <x:c r="H35" s="9" t="str">
        <x:v>DISPERSIÓN</x:v>
      </x:c>
      <x:c r="I35" s="9" t="str">
        <x:v>DIS-MCALIZATOR-10082026.pdf</x:v>
      </x:c>
      <x:c r="J35" s="9" t="str">
        <x:v>OTRO</x:v>
      </x:c>
      <x:c r="K35" s="9" t="str">
        <x:v>TRANSFERENCIA</x:v>
      </x:c>
      <x:c r="L35" s="9" t="str">
        <x:v>MXN</x:v>
      </x:c>
      <x:c r="M35" s="30" t="n">
        <x:v>1</x:v>
      </x:c>
      <x:c r="N35" s="30" t="n">
        <x:v>998</x:v>
      </x:c>
    </x:row>
    <x:row r="36" ht="42" customHeight="1">
      <x:c r="A36" s="9" t="str">
        <x:v>REV-008</x:v>
      </x:c>
      <x:c r="B36" s="9" t="str">
        <x:v>TORRE_G</x:v>
      </x:c>
      <x:c r="C36" s="9" t="str">
        <x:v>MÁRMOL</x:v>
      </x:c>
      <x:c r="D36" s="9" t="str">
        <x:v>COLOCACION CALIZA</x:v>
      </x:c>
      <x:c r="E36" s="9" t="str">
        <x:v>MANO_OBRA</x:v>
      </x:c>
      <x:c r="F36" s="37" t="n">
        <x:v>9102</x:v>
      </x:c>
      <x:c r="G36" s="25" t="d">
        <x:v>2026-08-10T00:00:00.000Z</x:v>
      </x:c>
      <x:c r="H36" s="9" t="str">
        <x:v>DISPERSIÓN</x:v>
      </x:c>
      <x:c r="I36" s="9" t="str">
        <x:v>DIS-MCALIZATOR-10082026.pdf</x:v>
      </x:c>
      <x:c r="J36" s="9" t="str">
        <x:v>OTRO</x:v>
      </x:c>
      <x:c r="K36" s="9" t="str">
        <x:v>TRANSFERENCIA</x:v>
      </x:c>
      <x:c r="L36" s="9" t="str">
        <x:v>MXN</x:v>
      </x:c>
      <x:c r="M36" s="30" t="n">
        <x:v>2</x:v>
      </x:c>
      <x:c r="N36" s="30" t="n">
        <x:v>999</x:v>
      </x:c>
    </x:row>
    <x:row r="37" ht="42" customHeight="1">
      <x:c r="A37" s="9" t="str">
        <x:v>REV-008</x:v>
      </x:c>
      <x:c r="B37" s="9" t="str">
        <x:v>TORRE_G</x:v>
      </x:c>
      <x:c r="C37" s="9" t="str">
        <x:v>MÁRMOL</x:v>
      </x:c>
      <x:c r="D37" s="9" t="str">
        <x:v>COLOCACION CALIZA</x:v>
      </x:c>
      <x:c r="E37" s="9" t="str">
        <x:v>MANO_OBRA</x:v>
      </x:c>
      <x:c r="F37" s="37" t="n">
        <x:v>12551</x:v>
      </x:c>
      <x:c r="G37" s="25" t="d">
        <x:v>2026-08-10T00:00:00.000Z</x:v>
      </x:c>
      <x:c r="H37" s="9" t="str">
        <x:v>DISPERSIÓN</x:v>
      </x:c>
      <x:c r="I37" s="9" t="str">
        <x:v>DIS-MCALIZATOR-10082026.pdf</x:v>
      </x:c>
      <x:c r="J37" s="9" t="str">
        <x:v>OTRO</x:v>
      </x:c>
      <x:c r="K37" s="9" t="str">
        <x:v>TRANSFERENCIA</x:v>
      </x:c>
      <x:c r="L37" s="9" t="str">
        <x:v>MXN</x:v>
      </x:c>
      <x:c r="M37" s="30" t="n">
        <x:v>2</x:v>
      </x:c>
      <x:c r="N37" s="30" t="n">
        <x:v>1000</x:v>
      </x:c>
    </x:row>
    <x:row r="38" ht="42" customHeight="1">
      <x:c r="A38" s="9" t="str">
        <x:v>REV-008</x:v>
      </x:c>
      <x:c r="B38" s="9" t="str">
        <x:v>TORRE_G</x:v>
      </x:c>
      <x:c r="C38" s="9" t="str">
        <x:v>MÁRMOL</x:v>
      </x:c>
      <x:c r="D38" s="9" t="str">
        <x:v>COLOCACION CALIZA</x:v>
      </x:c>
      <x:c r="E38" s="9" t="str">
        <x:v>MANO_OBRA</x:v>
      </x:c>
      <x:c r="F38" s="37" t="n">
        <x:v>13609.82</x:v>
      </x:c>
      <x:c r="G38" s="25" t="d">
        <x:v>2026-08-10T00:00:00.000Z</x:v>
      </x:c>
      <x:c r="H38" s="9" t="str">
        <x:v>DISPERSIÓN</x:v>
      </x:c>
      <x:c r="I38" s="9" t="str">
        <x:v>DIS-MCALIZATOR-10082026.pdf</x:v>
      </x:c>
      <x:c r="J38" s="9" t="str">
        <x:v>OTRO</x:v>
      </x:c>
      <x:c r="K38" s="9" t="str">
        <x:v>TRANSFERENCIA</x:v>
      </x:c>
      <x:c r="L38" s="9" t="str">
        <x:v>MXN</x:v>
      </x:c>
      <x:c r="M38" s="30"/>
      <x:c r="N38" s="30" t="n">
        <x:v>1001</x:v>
      </x:c>
    </x:row>
    <x:row r="39" ht="42" customHeight="1">
      <x:c r="A39" s="9" t="str">
        <x:v>REV-009</x:v>
      </x:c>
      <x:c r="B39" s="9" t="str">
        <x:v>TORRE_G</x:v>
      </x:c>
      <x:c r="C39" s="9" t="str">
        <x:v>MÁRMOL</x:v>
      </x:c>
      <x:c r="D39" s="9" t="str">
        <x:v>COLOCACION BAÑOS (LAMBRINES REGADERA Y WC)</x:v>
      </x:c>
      <x:c r="E39" s="9" t="str">
        <x:v>MANO_OBRA</x:v>
      </x:c>
      <x:c r="F39" s="37" t="n">
        <x:v>5981.98</x:v>
      </x:c>
      <x:c r="G39" s="25" t="d">
        <x:v>2026-08-10T00:00:00.000Z</x:v>
      </x:c>
      <x:c r="H39" s="9" t="str">
        <x:v>EFECTIVO</x:v>
      </x:c>
      <x:c r="I39" s="9" t="str">
        <x:v>EFE-BAOS-10082026.pdf</x:v>
      </x:c>
      <x:c r="J39" s="9" t="str">
        <x:v>OTRO</x:v>
      </x:c>
      <x:c r="K39" s="9" t="str">
        <x:v>EFECTIVO</x:v>
      </x:c>
      <x:c r="L39" s="9" t="str">
        <x:v>MXN</x:v>
      </x:c>
      <x:c r="M39" s="30" t="n">
        <x:v>3</x:v>
      </x:c>
      <x:c r="N39" s="30" t="n">
        <x:v>971</x:v>
      </x:c>
    </x:row>
    <x:row r="40" ht="42" customHeight="1">
      <x:c r="A40" s="9" t="str">
        <x:v>REV-009</x:v>
      </x:c>
      <x:c r="B40" s="9" t="str">
        <x:v>TORRE_G</x:v>
      </x:c>
      <x:c r="C40" s="9" t="str">
        <x:v>MÁRMOL</x:v>
      </x:c>
      <x:c r="D40" s="9" t="str">
        <x:v>COLOCACION BAÑOS (LAMBRINES REGADERA Y WC)</x:v>
      </x:c>
      <x:c r="E40" s="9" t="str">
        <x:v>MANO_OBRA</x:v>
      </x:c>
      <x:c r="F40" s="37" t="n">
        <x:v>15650</x:v>
      </x:c>
      <x:c r="G40" s="25" t="d">
        <x:v>2026-08-10T00:00:00.000Z</x:v>
      </x:c>
      <x:c r="H40" s="9" t="str">
        <x:v>EFECTIVO</x:v>
      </x:c>
      <x:c r="I40" s="9" t="str">
        <x:v>EFE-BAOS-10082026.pdf</x:v>
      </x:c>
      <x:c r="J40" s="9" t="str">
        <x:v>OTRO</x:v>
      </x:c>
      <x:c r="K40" s="9" t="str">
        <x:v>EFECTIVO</x:v>
      </x:c>
      <x:c r="L40" s="9" t="str">
        <x:v>MXN</x:v>
      </x:c>
      <x:c r="M40" s="30" t="n">
        <x:v>4</x:v>
      </x:c>
      <x:c r="N40" s="30" t="n">
        <x:v>975</x:v>
      </x:c>
    </x:row>
    <x:row r="41" ht="42" customHeight="1">
      <x:c r="A41" s="9" t="str">
        <x:v>REV-010</x:v>
      </x:c>
      <x:c r="B41" s="9" t="str">
        <x:v>TORRE_G</x:v>
      </x:c>
      <x:c r="C41" s="9" t="str">
        <x:v>ALBAÑILERÍAS</x:v>
      </x:c>
      <x:c r="D41" s="9" t="str">
        <x:v>MANO_OBRA</x:v>
      </x:c>
      <x:c r="E41" s="9" t="str">
        <x:v>AYUDANTE DE ALBAÑIL</x:v>
      </x:c>
      <x:c r="F41" s="37" t="n">
        <x:v>5316</x:v>
      </x:c>
      <x:c r="G41" s="25" t="d">
        <x:v>2026-08-10T00:00:00.000Z</x:v>
      </x:c>
      <x:c r="H41" s="9" t="str">
        <x:v>EFECTIVO</x:v>
      </x:c>
      <x:c r="I41" s="9" t="str">
        <x:v>EFE-LARENAG-10082026.pdf</x:v>
      </x:c>
      <x:c r="J41" s="9" t="str">
        <x:v>OTRO</x:v>
      </x:c>
      <x:c r="K41" s="9" t="str">
        <x:v>EFECTIVO</x:v>
      </x:c>
      <x:c r="L41" s="9" t="str">
        <x:v>MXN</x:v>
      </x:c>
      <x:c r="M41" s="30" t="n">
        <x:v>3</x:v>
      </x:c>
      <x:c r="N41" s="30" t="n">
        <x:v>527</x:v>
      </x:c>
    </x:row>
    <x:row r="42" ht="42" customHeight="1">
      <x:c r="A42" s="9" t="str">
        <x:v>REV-010</x:v>
      </x:c>
      <x:c r="B42" s="9" t="str">
        <x:v>TORRE_G</x:v>
      </x:c>
      <x:c r="C42" s="9" t="str">
        <x:v>ALBAÑILERÍAS</x:v>
      </x:c>
      <x:c r="D42" s="9" t="str">
        <x:v>MANO_OBRA</x:v>
      </x:c>
      <x:c r="E42" s="9" t="str">
        <x:v>CABO DE OFICIOS</x:v>
      </x:c>
      <x:c r="F42" s="37" t="n">
        <x:v>4348</x:v>
      </x:c>
      <x:c r="G42" s="25" t="d">
        <x:v>2026-08-10T00:00:00.000Z</x:v>
      </x:c>
      <x:c r="H42" s="9" t="str">
        <x:v>EFECTIVO</x:v>
      </x:c>
      <x:c r="I42" s="9" t="str">
        <x:v>EFE-LARENAG-10082026.pdf</x:v>
      </x:c>
      <x:c r="J42" s="9" t="str">
        <x:v>OTRO</x:v>
      </x:c>
      <x:c r="K42" s="9" t="str">
        <x:v>EFECTIVO</x:v>
      </x:c>
      <x:c r="L42" s="9" t="str">
        <x:v>MXN</x:v>
      </x:c>
      <x:c r="M42" s="30" t="n">
        <x:v>1</x:v>
      </x:c>
      <x:c r="N42" s="30" t="n">
        <x:v>529</x:v>
      </x:c>
    </x:row>
    <x:row r="43" ht="42" customHeight="1">
      <x:c r="A43" s="9" t="str">
        <x:v>REV-010</x:v>
      </x:c>
      <x:c r="B43" s="9" t="str">
        <x:v>TORRE_G</x:v>
      </x:c>
      <x:c r="C43" s="9" t="str">
        <x:v>ALBAÑILERÍAS</x:v>
      </x:c>
      <x:c r="D43" s="9" t="str">
        <x:v>MANO_OBRA</x:v>
      </x:c>
      <x:c r="E43" s="9" t="str">
        <x:v>OFICIAL ALBAÑIL</x:v>
      </x:c>
      <x:c r="F43" s="37" t="n">
        <x:v>22850</x:v>
      </x:c>
      <x:c r="G43" s="25" t="d">
        <x:v>2026-08-10T00:00:00.000Z</x:v>
      </x:c>
      <x:c r="H43" s="9" t="str">
        <x:v>EFECTIVO</x:v>
      </x:c>
      <x:c r="I43" s="9" t="str">
        <x:v>EFE-LARENAG-10082026.pdf</x:v>
      </x:c>
      <x:c r="J43" s="9" t="str">
        <x:v>OTRO</x:v>
      </x:c>
      <x:c r="K43" s="9" t="str">
        <x:v>EFECTIVO</x:v>
      </x:c>
      <x:c r="L43" s="9" t="str">
        <x:v>MXN</x:v>
      </x:c>
      <x:c r="M43" s="30" t="n">
        <x:v>7</x:v>
      </x:c>
      <x:c r="N43" s="30" t="n">
        <x:v>532</x:v>
      </x:c>
    </x:row>
    <x:row r="44" ht="42" customHeight="1">
      <x:c r="A44" s="9" t="str">
        <x:v>REV-010</x:v>
      </x:c>
      <x:c r="B44" s="9" t="str">
        <x:v>TORRE_G</x:v>
      </x:c>
      <x:c r="C44" s="9" t="str">
        <x:v>ALBAÑILERÍAS</x:v>
      </x:c>
      <x:c r="D44" s="9" t="str">
        <x:v>MANO_OBRA</x:v>
      </x:c>
      <x:c r="E44" s="9" t="str">
        <x:v>OFICIAL FIERRERO</x:v>
      </x:c>
      <x:c r="F44" s="37" t="n">
        <x:v>2550</x:v>
      </x:c>
      <x:c r="G44" s="25" t="d">
        <x:v>2026-08-10T00:00:00.000Z</x:v>
      </x:c>
      <x:c r="H44" s="9" t="str">
        <x:v>EFECTIVO</x:v>
      </x:c>
      <x:c r="I44" s="9" t="str">
        <x:v>EFE-LARENAG-10082026.pdf</x:v>
      </x:c>
      <x:c r="J44" s="9" t="str">
        <x:v>OTRO</x:v>
      </x:c>
      <x:c r="K44" s="9" t="str">
        <x:v>EFECTIVO</x:v>
      </x:c>
      <x:c r="L44" s="9" t="str">
        <x:v>MXN</x:v>
      </x:c>
      <x:c r="M44" s="30" t="n">
        <x:v>1</x:v>
      </x:c>
      <x:c r="N44" s="30" t="n">
        <x:v>534</x:v>
      </x:c>
    </x:row>
    <x:row r="45" ht="42" customHeight="1">
      <x:c r="A45" s="9" t="str">
        <x:v>REV-011</x:v>
      </x:c>
      <x:c r="B45" s="9" t="str">
        <x:v>TORRE_G</x:v>
      </x:c>
      <x:c r="C45" s="9" t="str">
        <x:v>ALBAÑILERÍAS</x:v>
      </x:c>
      <x:c r="D45" s="9" t="str">
        <x:v>MANO_OBRA</x:v>
      </x:c>
      <x:c r="E45" s="9" t="str">
        <x:v>AYUDANTE DE ALBAÑIL</x:v>
      </x:c>
      <x:c r="F45" s="37" t="n">
        <x:v>8184</x:v>
      </x:c>
      <x:c r="G45" s="25" t="d">
        <x:v>2026-08-24T00:00:00.000Z</x:v>
      </x:c>
      <x:c r="H45" s="9" t="str">
        <x:v>DISPERSIÓN</x:v>
      </x:c>
      <x:c r="I45" s="9" t="str">
        <x:v>DIS-LARENAG-24082026.pdf</x:v>
      </x:c>
      <x:c r="J45" s="9" t="str">
        <x:v>OTRO</x:v>
      </x:c>
      <x:c r="K45" s="9" t="str">
        <x:v>TRANSFERENCIA</x:v>
      </x:c>
      <x:c r="L45" s="9" t="str">
        <x:v>MXN</x:v>
      </x:c>
      <x:c r="M45" s="30" t="n">
        <x:v>3</x:v>
      </x:c>
      <x:c r="N45" s="30" t="n">
        <x:v>546</x:v>
      </x:c>
    </x:row>
    <x:row r="46" ht="42" customHeight="1">
      <x:c r="A46" s="9" t="str">
        <x:v>REV-011</x:v>
      </x:c>
      <x:c r="B46" s="9" t="str">
        <x:v>TORRE_G</x:v>
      </x:c>
      <x:c r="C46" s="9" t="str">
        <x:v>ALBAÑILERÍAS</x:v>
      </x:c>
      <x:c r="D46" s="9" t="str">
        <x:v>MANO_OBRA</x:v>
      </x:c>
      <x:c r="E46" s="9" t="str">
        <x:v>CABO DE OFICIOS</x:v>
      </x:c>
      <x:c r="F46" s="37" t="n">
        <x:v>5152</x:v>
      </x:c>
      <x:c r="G46" s="25" t="d">
        <x:v>2026-08-24T00:00:00.000Z</x:v>
      </x:c>
      <x:c r="H46" s="9" t="str">
        <x:v>DISPERSIÓN</x:v>
      </x:c>
      <x:c r="I46" s="9" t="str">
        <x:v>DIS-LARENAG-24082026.pdf</x:v>
      </x:c>
      <x:c r="J46" s="9" t="str">
        <x:v>OTRO</x:v>
      </x:c>
      <x:c r="K46" s="9" t="str">
        <x:v>TRANSFERENCIA</x:v>
      </x:c>
      <x:c r="L46" s="9" t="str">
        <x:v>MXN</x:v>
      </x:c>
      <x:c r="M46" s="30" t="n">
        <x:v>1</x:v>
      </x:c>
      <x:c r="N46" s="30" t="n">
        <x:v>548</x:v>
      </x:c>
    </x:row>
    <x:row r="47" ht="42" customHeight="1">
      <x:c r="A47" s="9" t="str">
        <x:v>REV-011</x:v>
      </x:c>
      <x:c r="B47" s="9" t="str">
        <x:v>TORRE_G</x:v>
      </x:c>
      <x:c r="C47" s="9" t="str">
        <x:v>ALBAÑILERÍAS</x:v>
      </x:c>
      <x:c r="D47" s="9" t="str">
        <x:v>MANO_OBRA</x:v>
      </x:c>
      <x:c r="E47" s="9" t="str">
        <x:v>FASAR 36+IVA%</x:v>
      </x:c>
      <x:c r="F47" s="37" t="n">
        <x:v>31167.61</x:v>
      </x:c>
      <x:c r="G47" s="25" t="d">
        <x:v>2026-08-24T00:00:00.000Z</x:v>
      </x:c>
      <x:c r="H47" s="9" t="str">
        <x:v>DISPERSIÓN</x:v>
      </x:c>
      <x:c r="I47" s="9" t="str">
        <x:v>DIS-LARENAG-24082026.pdf</x:v>
      </x:c>
      <x:c r="J47" s="9" t="str">
        <x:v>OTRO</x:v>
      </x:c>
      <x:c r="K47" s="9" t="str">
        <x:v>TRANSFERENCIA</x:v>
      </x:c>
      <x:c r="L47" s="9" t="str">
        <x:v>MXN</x:v>
      </x:c>
      <x:c r="M47" s="30"/>
      <x:c r="N47" s="30" t="n">
        <x:v>549</x:v>
      </x:c>
    </x:row>
    <x:row r="48" ht="42" customHeight="1">
      <x:c r="A48" s="9" t="str">
        <x:v>REV-011</x:v>
      </x:c>
      <x:c r="B48" s="9" t="str">
        <x:v>TORRE_G</x:v>
      </x:c>
      <x:c r="C48" s="9" t="str">
        <x:v>ALBAÑILERÍAS</x:v>
      </x:c>
      <x:c r="D48" s="9" t="str">
        <x:v>MANO_OBRA</x:v>
      </x:c>
      <x:c r="E48" s="9" t="str">
        <x:v>OFICIAL ALBAÑIL</x:v>
      </x:c>
      <x:c r="F48" s="37" t="n">
        <x:v>27650</x:v>
      </x:c>
      <x:c r="G48" s="25" t="d">
        <x:v>2026-08-24T00:00:00.000Z</x:v>
      </x:c>
      <x:c r="H48" s="9" t="str">
        <x:v>DISPERSIÓN</x:v>
      </x:c>
      <x:c r="I48" s="9" t="str">
        <x:v>DIS-LARENAG-24082026.pdf</x:v>
      </x:c>
      <x:c r="J48" s="9" t="str">
        <x:v>OTRO</x:v>
      </x:c>
      <x:c r="K48" s="9" t="str">
        <x:v>TRANSFERENCIA</x:v>
      </x:c>
      <x:c r="L48" s="9" t="str">
        <x:v>MXN</x:v>
      </x:c>
      <x:c r="M48" s="30" t="n">
        <x:v>7</x:v>
      </x:c>
      <x:c r="N48" s="30" t="n">
        <x:v>551</x:v>
      </x:c>
    </x:row>
    <x:row r="49" ht="42" customHeight="1">
      <x:c r="A49" s="9" t="str">
        <x:v>REV-011</x:v>
      </x:c>
      <x:c r="B49" s="9" t="str">
        <x:v>TORRE_G</x:v>
      </x:c>
      <x:c r="C49" s="9" t="str">
        <x:v>ALBAÑILERÍAS</x:v>
      </x:c>
      <x:c r="D49" s="9" t="str">
        <x:v>MANO_OBRA</x:v>
      </x:c>
      <x:c r="E49" s="9" t="str">
        <x:v>OFICIAL FIERRERO</x:v>
      </x:c>
      <x:c r="F49" s="37" t="n">
        <x:v>3950</x:v>
      </x:c>
      <x:c r="G49" s="25" t="d">
        <x:v>2026-08-24T00:00:00.000Z</x:v>
      </x:c>
      <x:c r="H49" s="9" t="str">
        <x:v>DISPERSIÓN</x:v>
      </x:c>
      <x:c r="I49" s="9" t="str">
        <x:v>DIS-LARENAG-24082026.pdf</x:v>
      </x:c>
      <x:c r="J49" s="9" t="str">
        <x:v>OTRO</x:v>
      </x:c>
      <x:c r="K49" s="9" t="str">
        <x:v>TRANSFERENCIA</x:v>
      </x:c>
      <x:c r="L49" s="9" t="str">
        <x:v>MXN</x:v>
      </x:c>
      <x:c r="M49" s="30" t="n">
        <x:v>1</x:v>
      </x:c>
      <x:c r="N49" s="30" t="n">
        <x:v>553</x:v>
      </x:c>
    </x:row>
    <x:row r="50" ht="42" customHeight="1">
      <x:c r="A50" s="9" t="str">
        <x:v>REV-012</x:v>
      </x:c>
      <x:c r="B50" s="9" t="str">
        <x:v>TORRE_G</x:v>
      </x:c>
      <x:c r="C50" s="9" t="str">
        <x:v>MÁRMOL</x:v>
      </x:c>
      <x:c r="D50" s="9" t="str">
        <x:v>COLOCACION CALIZA</x:v>
      </x:c>
      <x:c r="E50" s="9" t="str">
        <x:v>MANO_OBRA</x:v>
      </x:c>
      <x:c r="F50" s="37" t="n">
        <x:v>4551</x:v>
      </x:c>
      <x:c r="G50" s="25" t="d">
        <x:v>2026-08-24T00:00:00.000Z</x:v>
      </x:c>
      <x:c r="H50" s="9" t="str">
        <x:v>DISPERSIÓN</x:v>
      </x:c>
      <x:c r="I50" s="9" t="str">
        <x:v>DIS-MCALIZATOR-24082026.pdf</x:v>
      </x:c>
      <x:c r="J50" s="9" t="str">
        <x:v>OTRO</x:v>
      </x:c>
      <x:c r="K50" s="9" t="str">
        <x:v>TRANSFERENCIA</x:v>
      </x:c>
      <x:c r="L50" s="9" t="str">
        <x:v>MXN</x:v>
      </x:c>
      <x:c r="M50" s="30" t="n">
        <x:v>1</x:v>
      </x:c>
      <x:c r="N50" s="30" t="n">
        <x:v>1007</x:v>
      </x:c>
    </x:row>
    <x:row r="51" ht="42" customHeight="1">
      <x:c r="A51" s="9" t="str">
        <x:v>REV-012</x:v>
      </x:c>
      <x:c r="B51" s="9" t="str">
        <x:v>TORRE_G</x:v>
      </x:c>
      <x:c r="C51" s="9" t="str">
        <x:v>MÁRMOL</x:v>
      </x:c>
      <x:c r="D51" s="9" t="str">
        <x:v>COLOCACION CALIZA</x:v>
      </x:c>
      <x:c r="E51" s="9" t="str">
        <x:v>MANO_OBRA</x:v>
      </x:c>
      <x:c r="F51" s="37" t="n">
        <x:v>7071</x:v>
      </x:c>
      <x:c r="G51" s="25" t="d">
        <x:v>2026-08-24T00:00:00.000Z</x:v>
      </x:c>
      <x:c r="H51" s="9" t="str">
        <x:v>DISPERSIÓN</x:v>
      </x:c>
      <x:c r="I51" s="9" t="str">
        <x:v>DIS-MCALIZATOR-24082026.pdf</x:v>
      </x:c>
      <x:c r="J51" s="9" t="str">
        <x:v>OTRO</x:v>
      </x:c>
      <x:c r="K51" s="9" t="str">
        <x:v>TRANSFERENCIA</x:v>
      </x:c>
      <x:c r="L51" s="9" t="str">
        <x:v>MXN</x:v>
      </x:c>
      <x:c r="M51" s="30" t="n">
        <x:v>1</x:v>
      </x:c>
      <x:c r="N51" s="30" t="n">
        <x:v>1008</x:v>
      </x:c>
    </x:row>
    <x:row r="52" ht="42" customHeight="1">
      <x:c r="A52" s="9" t="str">
        <x:v>REV-012</x:v>
      </x:c>
      <x:c r="B52" s="9" t="str">
        <x:v>TORRE_G</x:v>
      </x:c>
      <x:c r="C52" s="9" t="str">
        <x:v>MÁRMOL</x:v>
      </x:c>
      <x:c r="D52" s="9" t="str">
        <x:v>COLOCACION CALIZA</x:v>
      </x:c>
      <x:c r="E52" s="9" t="str">
        <x:v>MANO_OBRA</x:v>
      </x:c>
      <x:c r="F52" s="37" t="n">
        <x:v>9602</x:v>
      </x:c>
      <x:c r="G52" s="25" t="d">
        <x:v>2026-08-24T00:00:00.000Z</x:v>
      </x:c>
      <x:c r="H52" s="9" t="str">
        <x:v>DISPERSIÓN</x:v>
      </x:c>
      <x:c r="I52" s="9" t="str">
        <x:v>DIS-MCALIZATOR-24082026.pdf</x:v>
      </x:c>
      <x:c r="J52" s="9" t="str">
        <x:v>OTRO</x:v>
      </x:c>
      <x:c r="K52" s="9" t="str">
        <x:v>TRANSFERENCIA</x:v>
      </x:c>
      <x:c r="L52" s="9" t="str">
        <x:v>MXN</x:v>
      </x:c>
      <x:c r="M52" s="30" t="n">
        <x:v>2</x:v>
      </x:c>
      <x:c r="N52" s="30" t="n">
        <x:v>1009</x:v>
      </x:c>
    </x:row>
    <x:row r="53" ht="42" customHeight="1">
      <x:c r="A53" s="9" t="str">
        <x:v>REV-012</x:v>
      </x:c>
      <x:c r="B53" s="9" t="str">
        <x:v>TORRE_G</x:v>
      </x:c>
      <x:c r="C53" s="9" t="str">
        <x:v>MÁRMOL</x:v>
      </x:c>
      <x:c r="D53" s="9" t="str">
        <x:v>COLOCACION CALIZA</x:v>
      </x:c>
      <x:c r="E53" s="9" t="str">
        <x:v>MANO_OBRA</x:v>
      </x:c>
      <x:c r="F53" s="37" t="n">
        <x:v>12551</x:v>
      </x:c>
      <x:c r="G53" s="25" t="d">
        <x:v>2026-08-24T00:00:00.000Z</x:v>
      </x:c>
      <x:c r="H53" s="9" t="str">
        <x:v>DISPERSIÓN</x:v>
      </x:c>
      <x:c r="I53" s="9" t="str">
        <x:v>DIS-MCALIZATOR-24082026.pdf</x:v>
      </x:c>
      <x:c r="J53" s="9" t="str">
        <x:v>OTRO</x:v>
      </x:c>
      <x:c r="K53" s="9" t="str">
        <x:v>TRANSFERENCIA</x:v>
      </x:c>
      <x:c r="L53" s="9" t="str">
        <x:v>MXN</x:v>
      </x:c>
      <x:c r="M53" s="30" t="n">
        <x:v>2</x:v>
      </x:c>
      <x:c r="N53" s="30" t="n">
        <x:v>1010</x:v>
      </x:c>
    </x:row>
    <x:row r="54" ht="42" customHeight="1">
      <x:c r="A54" s="9" t="str">
        <x:v>REV-012</x:v>
      </x:c>
      <x:c r="B54" s="9" t="str">
        <x:v>TORRE_G</x:v>
      </x:c>
      <x:c r="C54" s="9" t="str">
        <x:v>MÁRMOL</x:v>
      </x:c>
      <x:c r="D54" s="9" t="str">
        <x:v>COLOCACION CALIZA</x:v>
      </x:c>
      <x:c r="E54" s="9" t="str">
        <x:v>MANO_OBRA</x:v>
      </x:c>
      <x:c r="F54" s="37" t="n">
        <x:v>13609.82</x:v>
      </x:c>
      <x:c r="G54" s="25" t="d">
        <x:v>2026-08-24T00:00:00.000Z</x:v>
      </x:c>
      <x:c r="H54" s="9" t="str">
        <x:v>DISPERSIÓN</x:v>
      </x:c>
      <x:c r="I54" s="9" t="str">
        <x:v>DIS-MCALIZATOR-24082026.pdf</x:v>
      </x:c>
      <x:c r="J54" s="9" t="str">
        <x:v>OTRO</x:v>
      </x:c>
      <x:c r="K54" s="9" t="str">
        <x:v>TRANSFERENCIA</x:v>
      </x:c>
      <x:c r="L54" s="9" t="str">
        <x:v>MXN</x:v>
      </x:c>
      <x:c r="M54" s="30"/>
      <x:c r="N54" s="30" t="n">
        <x:v>1011</x:v>
      </x:c>
    </x:row>
    <x:row r="55" ht="42" customHeight="1">
      <x:c r="A55" s="9" t="str">
        <x:v>REV-013</x:v>
      </x:c>
      <x:c r="B55" s="9" t="str">
        <x:v>TORRE_G</x:v>
      </x:c>
      <x:c r="C55" s="9" t="str">
        <x:v>ALBAÑILERÍAS</x:v>
      </x:c>
      <x:c r="D55" s="9" t="str">
        <x:v>MANO_OBRA</x:v>
      </x:c>
      <x:c r="E55" s="9" t="str">
        <x:v>AYUDANTE DE ALBAÑIL</x:v>
      </x:c>
      <x:c r="F55" s="37" t="n">
        <x:v>5316</x:v>
      </x:c>
      <x:c r="G55" s="25" t="d">
        <x:v>2026-08-24T00:00:00.000Z</x:v>
      </x:c>
      <x:c r="H55" s="9" t="str">
        <x:v>EFECTIVO</x:v>
      </x:c>
      <x:c r="I55" s="9" t="str">
        <x:v>EFE-LARENAG-24082026.pdf</x:v>
      </x:c>
      <x:c r="J55" s="9" t="str">
        <x:v>OTRO</x:v>
      </x:c>
      <x:c r="K55" s="9" t="str">
        <x:v>EFECTIVO</x:v>
      </x:c>
      <x:c r="L55" s="9" t="str">
        <x:v>MXN</x:v>
      </x:c>
      <x:c r="M55" s="30" t="n">
        <x:v>3</x:v>
      </x:c>
      <x:c r="N55" s="30" t="n">
        <x:v>545</x:v>
      </x:c>
    </x:row>
    <x:row r="56" ht="42" customHeight="1">
      <x:c r="A56" s="9" t="str">
        <x:v>REV-013</x:v>
      </x:c>
      <x:c r="B56" s="9" t="str">
        <x:v>TORRE_G</x:v>
      </x:c>
      <x:c r="C56" s="9" t="str">
        <x:v>ALBAÑILERÍAS</x:v>
      </x:c>
      <x:c r="D56" s="9" t="str">
        <x:v>MANO_OBRA</x:v>
      </x:c>
      <x:c r="E56" s="9" t="str">
        <x:v>CABO DE OFICIOS</x:v>
      </x:c>
      <x:c r="F56" s="37" t="n">
        <x:v>3348</x:v>
      </x:c>
      <x:c r="G56" s="25" t="d">
        <x:v>2026-08-24T00:00:00.000Z</x:v>
      </x:c>
      <x:c r="H56" s="9" t="str">
        <x:v>EFECTIVO</x:v>
      </x:c>
      <x:c r="I56" s="9" t="str">
        <x:v>EFE-LARENAG-24082026.pdf</x:v>
      </x:c>
      <x:c r="J56" s="9" t="str">
        <x:v>OTRO</x:v>
      </x:c>
      <x:c r="K56" s="9" t="str">
        <x:v>EFECTIVO</x:v>
      </x:c>
      <x:c r="L56" s="9" t="str">
        <x:v>MXN</x:v>
      </x:c>
      <x:c r="M56" s="30" t="n">
        <x:v>1</x:v>
      </x:c>
      <x:c r="N56" s="30" t="n">
        <x:v>547</x:v>
      </x:c>
    </x:row>
    <x:row r="57" ht="42" customHeight="1">
      <x:c r="A57" s="9" t="str">
        <x:v>REV-013</x:v>
      </x:c>
      <x:c r="B57" s="9" t="str">
        <x:v>TORRE_G</x:v>
      </x:c>
      <x:c r="C57" s="9" t="str">
        <x:v>ALBAÑILERÍAS</x:v>
      </x:c>
      <x:c r="D57" s="9" t="str">
        <x:v>MANO_OBRA</x:v>
      </x:c>
      <x:c r="E57" s="9" t="str">
        <x:v>OFICIAL ALBAÑIL</x:v>
      </x:c>
      <x:c r="F57" s="37" t="n">
        <x:v>17850</x:v>
      </x:c>
      <x:c r="G57" s="25" t="d">
        <x:v>2026-08-24T00:00:00.000Z</x:v>
      </x:c>
      <x:c r="H57" s="9" t="str">
        <x:v>EFECTIVO</x:v>
      </x:c>
      <x:c r="I57" s="9" t="str">
        <x:v>EFE-LARENAG-24082026.pdf</x:v>
      </x:c>
      <x:c r="J57" s="9" t="str">
        <x:v>OTRO</x:v>
      </x:c>
      <x:c r="K57" s="9" t="str">
        <x:v>EFECTIVO</x:v>
      </x:c>
      <x:c r="L57" s="9" t="str">
        <x:v>MXN</x:v>
      </x:c>
      <x:c r="M57" s="30" t="n">
        <x:v>7</x:v>
      </x:c>
      <x:c r="N57" s="30" t="n">
        <x:v>550</x:v>
      </x:c>
    </x:row>
    <x:row r="58" ht="42" customHeight="1">
      <x:c r="A58" s="9" t="str">
        <x:v>REV-013</x:v>
      </x:c>
      <x:c r="B58" s="9" t="str">
        <x:v>TORRE_G</x:v>
      </x:c>
      <x:c r="C58" s="9" t="str">
        <x:v>ALBAÑILERÍAS</x:v>
      </x:c>
      <x:c r="D58" s="9" t="str">
        <x:v>MANO_OBRA</x:v>
      </x:c>
      <x:c r="E58" s="9" t="str">
        <x:v>OFICIAL FIERRERO</x:v>
      </x:c>
      <x:c r="F58" s="37" t="n">
        <x:v>2550</x:v>
      </x:c>
      <x:c r="G58" s="25" t="d">
        <x:v>2026-08-24T00:00:00.000Z</x:v>
      </x:c>
      <x:c r="H58" s="9" t="str">
        <x:v>EFECTIVO</x:v>
      </x:c>
      <x:c r="I58" s="9" t="str">
        <x:v>EFE-LARENAG-24082026.pdf</x:v>
      </x:c>
      <x:c r="J58" s="9" t="str">
        <x:v>OTRO</x:v>
      </x:c>
      <x:c r="K58" s="9" t="str">
        <x:v>EFECTIVO</x:v>
      </x:c>
      <x:c r="L58" s="9" t="str">
        <x:v>MXN</x:v>
      </x:c>
      <x:c r="M58" s="30" t="n">
        <x:v>1</x:v>
      </x:c>
      <x:c r="N58" s="30" t="n">
        <x:v>552</x:v>
      </x:c>
    </x:row>
    <x:row r="59" ht="42" customHeight="1">
      <x:c r="A59" s="9" t="str">
        <x:v>REV-014</x:v>
      </x:c>
      <x:c r="B59" s="9" t="str">
        <x:v>TORRE_G</x:v>
      </x:c>
      <x:c r="C59" s="9" t="str">
        <x:v>ALBAÑILERÍAS</x:v>
      </x:c>
      <x:c r="D59" s="9" t="str">
        <x:v>MANO_OBRA</x:v>
      </x:c>
      <x:c r="E59" s="9" t="str">
        <x:v>AYUDANTE DE ALBAÑIL</x:v>
      </x:c>
      <x:c r="F59" s="37" t="n">
        <x:v>10605.36</x:v>
      </x:c>
      <x:c r="G59" s="25" t="d">
        <x:v>2026-08-31T00:00:00.000Z</x:v>
      </x:c>
      <x:c r="H59" s="9" t="str">
        <x:v>DISPERSIÓN</x:v>
      </x:c>
      <x:c r="I59" s="9" t="str">
        <x:v>DIS-LARENAG-31082026.pdf</x:v>
      </x:c>
      <x:c r="J59" s="9" t="str">
        <x:v>OTRO</x:v>
      </x:c>
      <x:c r="K59" s="9" t="str">
        <x:v>TRANSFERENCIA</x:v>
      </x:c>
      <x:c r="L59" s="9" t="str">
        <x:v>MXN</x:v>
      </x:c>
      <x:c r="M59" s="30" t="n">
        <x:v>4</x:v>
      </x:c>
      <x:c r="N59" s="30" t="n">
        <x:v>554</x:v>
      </x:c>
    </x:row>
    <x:row r="60" ht="42" customHeight="1">
      <x:c r="A60" s="9" t="str">
        <x:v>REV-014</x:v>
      </x:c>
      <x:c r="B60" s="9" t="str">
        <x:v>TORRE_G</x:v>
      </x:c>
      <x:c r="C60" s="9" t="str">
        <x:v>ALBAÑILERÍAS</x:v>
      </x:c>
      <x:c r="D60" s="9" t="str">
        <x:v>MANO_OBRA</x:v>
      </x:c>
      <x:c r="E60" s="9" t="str">
        <x:v>CABO DE OFICIOS</x:v>
      </x:c>
      <x:c r="F60" s="37" t="n">
        <x:v>5152</x:v>
      </x:c>
      <x:c r="G60" s="25" t="d">
        <x:v>2026-08-31T00:00:00.000Z</x:v>
      </x:c>
      <x:c r="H60" s="9" t="str">
        <x:v>DISPERSIÓN</x:v>
      </x:c>
      <x:c r="I60" s="9" t="str">
        <x:v>DIS-LARENAG-31082026.pdf</x:v>
      </x:c>
      <x:c r="J60" s="9" t="str">
        <x:v>OTRO</x:v>
      </x:c>
      <x:c r="K60" s="9" t="str">
        <x:v>TRANSFERENCIA</x:v>
      </x:c>
      <x:c r="L60" s="9" t="str">
        <x:v>MXN</x:v>
      </x:c>
      <x:c r="M60" s="30" t="n">
        <x:v>1</x:v>
      </x:c>
      <x:c r="N60" s="30" t="n">
        <x:v>557</x:v>
      </x:c>
    </x:row>
    <x:row r="61" ht="42" customHeight="1">
      <x:c r="A61" s="9" t="str">
        <x:v>REV-014</x:v>
      </x:c>
      <x:c r="B61" s="9" t="str">
        <x:v>TORRE_G</x:v>
      </x:c>
      <x:c r="C61" s="9" t="str">
        <x:v>ALBAÑILERÍAS</x:v>
      </x:c>
      <x:c r="D61" s="9" t="str">
        <x:v>MANO_OBRA</x:v>
      </x:c>
      <x:c r="E61" s="9" t="str">
        <x:v>FASAR 36+IVA%</x:v>
      </x:c>
      <x:c r="F61" s="37" t="n">
        <x:v>35298.2</x:v>
      </x:c>
      <x:c r="G61" s="25" t="d">
        <x:v>2026-08-31T00:00:00.000Z</x:v>
      </x:c>
      <x:c r="H61" s="9" t="str">
        <x:v>DISPERSIÓN</x:v>
      </x:c>
      <x:c r="I61" s="9" t="str">
        <x:v>DIS-LARENAG-31082026.pdf</x:v>
      </x:c>
      <x:c r="J61" s="9" t="str">
        <x:v>OTRO</x:v>
      </x:c>
      <x:c r="K61" s="9" t="str">
        <x:v>TRANSFERENCIA</x:v>
      </x:c>
      <x:c r="L61" s="9" t="str">
        <x:v>MXN</x:v>
      </x:c>
      <x:c r="M61" s="30"/>
      <x:c r="N61" s="30" t="n">
        <x:v>558</x:v>
      </x:c>
    </x:row>
    <x:row r="62" ht="42" customHeight="1">
      <x:c r="A62" s="9" t="str">
        <x:v>REV-014</x:v>
      </x:c>
      <x:c r="B62" s="9" t="str">
        <x:v>TORRE_G</x:v>
      </x:c>
      <x:c r="C62" s="9" t="str">
        <x:v>ALBAÑILERÍAS</x:v>
      </x:c>
      <x:c r="D62" s="9" t="str">
        <x:v>MANO_OBRA</x:v>
      </x:c>
      <x:c r="E62" s="9" t="str">
        <x:v>OFICIAL ALBAÑIL</x:v>
      </x:c>
      <x:c r="F62" s="37" t="n">
        <x:v>31183.93</x:v>
      </x:c>
      <x:c r="G62" s="25" t="d">
        <x:v>2026-08-31T00:00:00.000Z</x:v>
      </x:c>
      <x:c r="H62" s="9" t="str">
        <x:v>DISPERSIÓN</x:v>
      </x:c>
      <x:c r="I62" s="9" t="str">
        <x:v>DIS-LARENAG-31082026.pdf</x:v>
      </x:c>
      <x:c r="J62" s="9" t="str">
        <x:v>OTRO</x:v>
      </x:c>
      <x:c r="K62" s="9" t="str">
        <x:v>TRANSFERENCIA</x:v>
      </x:c>
      <x:c r="L62" s="9" t="str">
        <x:v>MXN</x:v>
      </x:c>
      <x:c r="M62" s="30" t="n">
        <x:v>8</x:v>
      </x:c>
      <x:c r="N62" s="30" t="n">
        <x:v>560</x:v>
      </x:c>
    </x:row>
    <x:row r="63" ht="42" customHeight="1">
      <x:c r="A63" s="9" t="str">
        <x:v>REV-014</x:v>
      </x:c>
      <x:c r="B63" s="9" t="str">
        <x:v>TORRE_G</x:v>
      </x:c>
      <x:c r="C63" s="9" t="str">
        <x:v>ALBAÑILERÍAS</x:v>
      </x:c>
      <x:c r="D63" s="9" t="str">
        <x:v>MANO_OBRA</x:v>
      </x:c>
      <x:c r="E63" s="9" t="str">
        <x:v>OFICIAL FIERRERO</x:v>
      </x:c>
      <x:c r="F63" s="37" t="n">
        <x:v>3950</x:v>
      </x:c>
      <x:c r="G63" s="25" t="d">
        <x:v>2026-08-31T00:00:00.000Z</x:v>
      </x:c>
      <x:c r="H63" s="9" t="str">
        <x:v>DISPERSIÓN</x:v>
      </x:c>
      <x:c r="I63" s="9" t="str">
        <x:v>DIS-LARENAG-31082026.pdf</x:v>
      </x:c>
      <x:c r="J63" s="9" t="str">
        <x:v>OTRO</x:v>
      </x:c>
      <x:c r="K63" s="9" t="str">
        <x:v>TRANSFERENCIA</x:v>
      </x:c>
      <x:c r="L63" s="9" t="str">
        <x:v>MXN</x:v>
      </x:c>
      <x:c r="M63" s="30" t="n">
        <x:v>1</x:v>
      </x:c>
      <x:c r="N63" s="30" t="n">
        <x:v>562</x:v>
      </x:c>
    </x:row>
    <x:row r="64" ht="42" customHeight="1">
      <x:c r="A64" s="9" t="str">
        <x:v>REV-015</x:v>
      </x:c>
      <x:c r="B64" s="9" t="str">
        <x:v>TORRE_G</x:v>
      </x:c>
      <x:c r="C64" s="9" t="str">
        <x:v>MÁRMOL</x:v>
      </x:c>
      <x:c r="D64" s="9" t="str">
        <x:v>COLOCACION CALIZA</x:v>
      </x:c>
      <x:c r="E64" s="9" t="str">
        <x:v>MANO_OBRA</x:v>
      </x:c>
      <x:c r="F64" s="37" t="n">
        <x:v>4551</x:v>
      </x:c>
      <x:c r="G64" s="25" t="d">
        <x:v>2026-08-31T00:00:00.000Z</x:v>
      </x:c>
      <x:c r="H64" s="9" t="str">
        <x:v>DISPERSIÓN</x:v>
      </x:c>
      <x:c r="I64" s="9" t="str">
        <x:v>DIS-MCALIZATOR-31082026.pdf</x:v>
      </x:c>
      <x:c r="J64" s="9" t="str">
        <x:v>OTRO</x:v>
      </x:c>
      <x:c r="K64" s="9" t="str">
        <x:v>TRANSFERENCIA</x:v>
      </x:c>
      <x:c r="L64" s="9" t="str">
        <x:v>MXN</x:v>
      </x:c>
      <x:c r="M64" s="30" t="n">
        <x:v>1</x:v>
      </x:c>
      <x:c r="N64" s="30" t="n">
        <x:v>1012</x:v>
      </x:c>
    </x:row>
    <x:row r="65" ht="42" customHeight="1">
      <x:c r="A65" s="9" t="str">
        <x:v>REV-015</x:v>
      </x:c>
      <x:c r="B65" s="9" t="str">
        <x:v>TORRE_G</x:v>
      </x:c>
      <x:c r="C65" s="9" t="str">
        <x:v>MÁRMOL</x:v>
      </x:c>
      <x:c r="D65" s="9" t="str">
        <x:v>COLOCACION CALIZA</x:v>
      </x:c>
      <x:c r="E65" s="9" t="str">
        <x:v>MANO_OBRA</x:v>
      </x:c>
      <x:c r="F65" s="37" t="n">
        <x:v>9602</x:v>
      </x:c>
      <x:c r="G65" s="25" t="d">
        <x:v>2026-08-31T00:00:00.000Z</x:v>
      </x:c>
      <x:c r="H65" s="9" t="str">
        <x:v>DISPERSIÓN</x:v>
      </x:c>
      <x:c r="I65" s="9" t="str">
        <x:v>DIS-MCALIZATOR-31082026.pdf</x:v>
      </x:c>
      <x:c r="J65" s="9" t="str">
        <x:v>OTRO</x:v>
      </x:c>
      <x:c r="K65" s="9" t="str">
        <x:v>TRANSFERENCIA</x:v>
      </x:c>
      <x:c r="L65" s="9" t="str">
        <x:v>MXN</x:v>
      </x:c>
      <x:c r="M65" s="30" t="n">
        <x:v>2</x:v>
      </x:c>
      <x:c r="N65" s="30" t="n">
        <x:v>1013</x:v>
      </x:c>
    </x:row>
    <x:row r="66" ht="42" customHeight="1">
      <x:c r="A66" s="9" t="str">
        <x:v>REV-015</x:v>
      </x:c>
      <x:c r="B66" s="9" t="str">
        <x:v>TORRE_G</x:v>
      </x:c>
      <x:c r="C66" s="9" t="str">
        <x:v>MÁRMOL</x:v>
      </x:c>
      <x:c r="D66" s="9" t="str">
        <x:v>COLOCACION CALIZA</x:v>
      </x:c>
      <x:c r="E66" s="9" t="str">
        <x:v>MANO_OBRA</x:v>
      </x:c>
      <x:c r="F66" s="37" t="n">
        <x:v>12551</x:v>
      </x:c>
      <x:c r="G66" s="25" t="d">
        <x:v>2026-08-31T00:00:00.000Z</x:v>
      </x:c>
      <x:c r="H66" s="9" t="str">
        <x:v>DISPERSIÓN</x:v>
      </x:c>
      <x:c r="I66" s="9" t="str">
        <x:v>DIS-MCALIZATOR-31082026.pdf</x:v>
      </x:c>
      <x:c r="J66" s="9" t="str">
        <x:v>OTRO</x:v>
      </x:c>
      <x:c r="K66" s="9" t="str">
        <x:v>TRANSFERENCIA</x:v>
      </x:c>
      <x:c r="L66" s="9" t="str">
        <x:v>MXN</x:v>
      </x:c>
      <x:c r="M66" s="30" t="n">
        <x:v>2</x:v>
      </x:c>
      <x:c r="N66" s="30" t="n">
        <x:v>1014</x:v>
      </x:c>
    </x:row>
    <x:row r="67" ht="42" customHeight="1">
      <x:c r="A67" s="9" t="str">
        <x:v>REV-015</x:v>
      </x:c>
      <x:c r="B67" s="9" t="str">
        <x:v>TORRE_G</x:v>
      </x:c>
      <x:c r="C67" s="9" t="str">
        <x:v>MÁRMOL</x:v>
      </x:c>
      <x:c r="D67" s="9" t="str">
        <x:v>COLOCACION CALIZA</x:v>
      </x:c>
      <x:c r="E67" s="9" t="str">
        <x:v>MANO_OBRA</x:v>
      </x:c>
      <x:c r="F67" s="37" t="n">
        <x:v>12596.71</x:v>
      </x:c>
      <x:c r="G67" s="25" t="d">
        <x:v>2026-08-31T00:00:00.000Z</x:v>
      </x:c>
      <x:c r="H67" s="9" t="str">
        <x:v>DISPERSIÓN</x:v>
      </x:c>
      <x:c r="I67" s="9" t="str">
        <x:v>DIS-MCALIZATOR-31082026.pdf</x:v>
      </x:c>
      <x:c r="J67" s="9" t="str">
        <x:v>OTRO</x:v>
      </x:c>
      <x:c r="K67" s="9" t="str">
        <x:v>TRANSFERENCIA</x:v>
      </x:c>
      <x:c r="L67" s="9" t="str">
        <x:v>MXN</x:v>
      </x:c>
      <x:c r="M67" s="30" t="n">
        <x:v>2</x:v>
      </x:c>
      <x:c r="N67" s="30" t="n">
        <x:v>1015</x:v>
      </x:c>
    </x:row>
    <x:row r="68" ht="42" customHeight="1">
      <x:c r="A68" s="9" t="str">
        <x:v>REV-015</x:v>
      </x:c>
      <x:c r="B68" s="9" t="str">
        <x:v>TORRE_G</x:v>
      </x:c>
      <x:c r="C68" s="9" t="str">
        <x:v>MÁRMOL</x:v>
      </x:c>
      <x:c r="D68" s="9" t="str">
        <x:v>COLOCACION CALIZA</x:v>
      </x:c>
      <x:c r="E68" s="9" t="str">
        <x:v>MANO_OBRA</x:v>
      </x:c>
      <x:c r="F68" s="37" t="n">
        <x:v>17442.45</x:v>
      </x:c>
      <x:c r="G68" s="25" t="d">
        <x:v>2026-08-31T00:00:00.000Z</x:v>
      </x:c>
      <x:c r="H68" s="9" t="str">
        <x:v>DISPERSIÓN</x:v>
      </x:c>
      <x:c r="I68" s="9" t="str">
        <x:v>DIS-MCALIZATOR-31082026.pdf</x:v>
      </x:c>
      <x:c r="J68" s="9" t="str">
        <x:v>OTRO</x:v>
      </x:c>
      <x:c r="K68" s="9" t="str">
        <x:v>TRANSFERENCIA</x:v>
      </x:c>
      <x:c r="L68" s="9" t="str">
        <x:v>MXN</x:v>
      </x:c>
      <x:c r="M68" s="30"/>
      <x:c r="N68" s="30" t="n">
        <x:v>1016</x:v>
      </x:c>
    </x:row>
    <x:row r="69" ht="42" customHeight="1">
      <x:c r="A69" s="9" t="str">
        <x:v>REV-016</x:v>
      </x:c>
      <x:c r="B69" s="9" t="str">
        <x:v>TORRE_G</x:v>
      </x:c>
      <x:c r="C69" s="9" t="str">
        <x:v>ALBAÑILERÍAS</x:v>
      </x:c>
      <x:c r="D69" s="9" t="str">
        <x:v>MANO_OBRA</x:v>
      </x:c>
      <x:c r="E69" s="9" t="str">
        <x:v>AYUDANTE DE ALBAÑIL</x:v>
      </x:c>
      <x:c r="F69" s="37" t="n">
        <x:v>11751.78</x:v>
      </x:c>
      <x:c r="G69" s="25" t="d">
        <x:v>2026-08-31T00:00:00.000Z</x:v>
      </x:c>
      <x:c r="H69" s="9" t="str">
        <x:v>EFECTIVO</x:v>
      </x:c>
      <x:c r="I69" s="9" t="str">
        <x:v>EFE-LARENAG-31082026.pdf</x:v>
      </x:c>
      <x:c r="J69" s="9" t="str">
        <x:v>OTRO</x:v>
      </x:c>
      <x:c r="K69" s="9" t="str">
        <x:v>EFECTIVO</x:v>
      </x:c>
      <x:c r="L69" s="9" t="str">
        <x:v>MXN</x:v>
      </x:c>
      <x:c r="M69" s="30" t="n">
        <x:v>4</x:v>
      </x:c>
      <x:c r="N69" s="30" t="n">
        <x:v>555</x:v>
      </x:c>
    </x:row>
    <x:row r="70" ht="42" customHeight="1">
      <x:c r="A70" s="9" t="str">
        <x:v>REV-016</x:v>
      </x:c>
      <x:c r="B70" s="9" t="str">
        <x:v>TORRE_G</x:v>
      </x:c>
      <x:c r="C70" s="9" t="str">
        <x:v>ALBAÑILERÍAS</x:v>
      </x:c>
      <x:c r="D70" s="9" t="str">
        <x:v>MANO_OBRA</x:v>
      </x:c>
      <x:c r="E70" s="9" t="str">
        <x:v>CABO DE OFICIOS</x:v>
      </x:c>
      <x:c r="F70" s="37" t="n">
        <x:v>2740.86</x:v>
      </x:c>
      <x:c r="G70" s="25" t="d">
        <x:v>2026-08-31T00:00:00.000Z</x:v>
      </x:c>
      <x:c r="H70" s="9" t="str">
        <x:v>EFECTIVO</x:v>
      </x:c>
      <x:c r="I70" s="9" t="str">
        <x:v>EFE-LARENAG-31082026.pdf</x:v>
      </x:c>
      <x:c r="J70" s="9" t="str">
        <x:v>OTRO</x:v>
      </x:c>
      <x:c r="K70" s="9" t="str">
        <x:v>EFECTIVO</x:v>
      </x:c>
      <x:c r="L70" s="9" t="str">
        <x:v>MXN</x:v>
      </x:c>
      <x:c r="M70" s="30" t="n">
        <x:v>1</x:v>
      </x:c>
      <x:c r="N70" s="30" t="n">
        <x:v>556</x:v>
      </x:c>
    </x:row>
    <x:row r="71" ht="42" customHeight="1">
      <x:c r="A71" s="9" t="str">
        <x:v>REV-016</x:v>
      </x:c>
      <x:c r="B71" s="9" t="str">
        <x:v>TORRE_G</x:v>
      </x:c>
      <x:c r="C71" s="9" t="str">
        <x:v>ALBAÑILERÍAS</x:v>
      </x:c>
      <x:c r="D71" s="9" t="str">
        <x:v>MANO_OBRA</x:v>
      </x:c>
      <x:c r="E71" s="9" t="str">
        <x:v>OFICIAL ALBAÑIL</x:v>
      </x:c>
      <x:c r="F71" s="37" t="n">
        <x:v>24887.5</x:v>
      </x:c>
      <x:c r="G71" s="25" t="d">
        <x:v>2026-08-31T00:00:00.000Z</x:v>
      </x:c>
      <x:c r="H71" s="9" t="str">
        <x:v>EFECTIVO</x:v>
      </x:c>
      <x:c r="I71" s="9" t="str">
        <x:v>EFE-LARENAG-31082026.pdf</x:v>
      </x:c>
      <x:c r="J71" s="9" t="str">
        <x:v>OTRO</x:v>
      </x:c>
      <x:c r="K71" s="9" t="str">
        <x:v>EFECTIVO</x:v>
      </x:c>
      <x:c r="L71" s="9" t="str">
        <x:v>MXN</x:v>
      </x:c>
      <x:c r="M71" s="30" t="n">
        <x:v>8</x:v>
      </x:c>
      <x:c r="N71" s="30" t="n">
        <x:v>559</x:v>
      </x:c>
    </x:row>
    <x:row r="72" ht="42" customHeight="1">
      <x:c r="A72" s="9" t="str">
        <x:v>REV-016</x:v>
      </x:c>
      <x:c r="B72" s="9" t="str">
        <x:v>TORRE_G</x:v>
      </x:c>
      <x:c r="C72" s="9" t="str">
        <x:v>ALBAÑILERÍAS</x:v>
      </x:c>
      <x:c r="D72" s="9" t="str">
        <x:v>MANO_OBRA</x:v>
      </x:c>
      <x:c r="E72" s="9" t="str">
        <x:v>OFICIAL FIERRERO</x:v>
      </x:c>
      <x:c r="F72" s="37" t="n">
        <x:v>2550</x:v>
      </x:c>
      <x:c r="G72" s="25" t="d">
        <x:v>2026-08-31T00:00:00.000Z</x:v>
      </x:c>
      <x:c r="H72" s="9" t="str">
        <x:v>EFECTIVO</x:v>
      </x:c>
      <x:c r="I72" s="9" t="str">
        <x:v>EFE-LARENAG-31082026.pdf</x:v>
      </x:c>
      <x:c r="J72" s="9" t="str">
        <x:v>OTRO</x:v>
      </x:c>
      <x:c r="K72" s="9" t="str">
        <x:v>EFECTIVO</x:v>
      </x:c>
      <x:c r="L72" s="9" t="str">
        <x:v>MXN</x:v>
      </x:c>
      <x:c r="M72" s="30" t="n">
        <x:v>1</x:v>
      </x:c>
      <x:c r="N72" s="30" t="n">
        <x:v>561</x:v>
      </x:c>
    </x:row>
    <x:row r="73" ht="42" customHeight="1">
      <x:c r="A73" s="9" t="str">
        <x:v>REV-017</x:v>
      </x:c>
      <x:c r="B73" s="9" t="str">
        <x:v>TORRE_H</x:v>
      </x:c>
      <x:c r="C73" s="9" t="str">
        <x:v>ALBAÑILERÍAS</x:v>
      </x:c>
      <x:c r="D73" s="9" t="str">
        <x:v>MANO_OBRA</x:v>
      </x:c>
      <x:c r="E73" s="9" t="str">
        <x:v>AYUDANTE DE ALBAÑIL</x:v>
      </x:c>
      <x:c r="F73" s="37" t="n">
        <x:v>10912</x:v>
      </x:c>
      <x:c r="G73" s="25" t="d">
        <x:v>2026-07-06T00:00:00.000Z</x:v>
      </x:c>
      <x:c r="H73" s="9" t="str">
        <x:v>DISPERSIÓN</x:v>
      </x:c>
      <x:c r="I73" s="9" t="str">
        <x:v>DIS-LARENAH-06072026.pdf</x:v>
      </x:c>
      <x:c r="J73" s="9" t="str">
        <x:v>OTRO</x:v>
      </x:c>
      <x:c r="K73" s="9" t="str">
        <x:v>TRANSFERENCIA</x:v>
      </x:c>
      <x:c r="L73" s="9" t="str">
        <x:v>MXN</x:v>
      </x:c>
      <x:c r="M73" s="30" t="n">
        <x:v>4</x:v>
      </x:c>
      <x:c r="N73" s="30" t="n">
        <x:v>1847</x:v>
      </x:c>
    </x:row>
    <x:row r="74" ht="42" customHeight="1">
      <x:c r="A74" s="9" t="str">
        <x:v>REV-017</x:v>
      </x:c>
      <x:c r="B74" s="9" t="str">
        <x:v>TORRE_H</x:v>
      </x:c>
      <x:c r="C74" s="9" t="str">
        <x:v>ALBAÑILERÍAS</x:v>
      </x:c>
      <x:c r="D74" s="9" t="str">
        <x:v>MANO_OBRA</x:v>
      </x:c>
      <x:c r="E74" s="9" t="str">
        <x:v>CABO DE OFICIOS</x:v>
      </x:c>
      <x:c r="F74" s="37" t="n">
        <x:v>5152</x:v>
      </x:c>
      <x:c r="G74" s="25" t="d">
        <x:v>2026-07-06T00:00:00.000Z</x:v>
      </x:c>
      <x:c r="H74" s="9" t="str">
        <x:v>DISPERSIÓN</x:v>
      </x:c>
      <x:c r="I74" s="9" t="str">
        <x:v>DIS-LARENAH-06072026.pdf</x:v>
      </x:c>
      <x:c r="J74" s="9" t="str">
        <x:v>OTRO</x:v>
      </x:c>
      <x:c r="K74" s="9" t="str">
        <x:v>TRANSFERENCIA</x:v>
      </x:c>
      <x:c r="L74" s="9" t="str">
        <x:v>MXN</x:v>
      </x:c>
      <x:c r="M74" s="30" t="n">
        <x:v>1</x:v>
      </x:c>
      <x:c r="N74" s="30" t="n">
        <x:v>1849</x:v>
      </x:c>
    </x:row>
    <x:row r="75" ht="42" customHeight="1">
      <x:c r="A75" s="9" t="str">
        <x:v>REV-017</x:v>
      </x:c>
      <x:c r="B75" s="9" t="str">
        <x:v>TORRE_H</x:v>
      </x:c>
      <x:c r="C75" s="9" t="str">
        <x:v>ALBAÑILERÍAS</x:v>
      </x:c>
      <x:c r="D75" s="9" t="str">
        <x:v>MANO_OBRA</x:v>
      </x:c>
      <x:c r="E75" s="9" t="str">
        <x:v>FASAR 36+IVA%</x:v>
      </x:c>
      <x:c r="F75" s="37" t="n">
        <x:v>24840.59</x:v>
      </x:c>
      <x:c r="G75" s="25" t="d">
        <x:v>2026-07-06T00:00:00.000Z</x:v>
      </x:c>
      <x:c r="H75" s="9" t="str">
        <x:v>DISPERSIÓN</x:v>
      </x:c>
      <x:c r="I75" s="9" t="str">
        <x:v>DIS-LARENAH-06072026.pdf</x:v>
      </x:c>
      <x:c r="J75" s="9" t="str">
        <x:v>OTRO</x:v>
      </x:c>
      <x:c r="K75" s="9" t="str">
        <x:v>TRANSFERENCIA</x:v>
      </x:c>
      <x:c r="L75" s="9" t="str">
        <x:v>MXN</x:v>
      </x:c>
      <x:c r="M75" s="30"/>
      <x:c r="N75" s="30" t="n">
        <x:v>1850</x:v>
      </x:c>
    </x:row>
    <x:row r="76" ht="42" customHeight="1">
      <x:c r="A76" s="9" t="str">
        <x:v>REV-017</x:v>
      </x:c>
      <x:c r="B76" s="9" t="str">
        <x:v>TORRE_H</x:v>
      </x:c>
      <x:c r="C76" s="9" t="str">
        <x:v>ALBAÑILERÍAS</x:v>
      </x:c>
      <x:c r="D76" s="9" t="str">
        <x:v>MANO_OBRA</x:v>
      </x:c>
      <x:c r="E76" s="9" t="str">
        <x:v>OFICIAL ALBAÑIL</x:v>
      </x:c>
      <x:c r="F76" s="37" t="n">
        <x:v>11850</x:v>
      </x:c>
      <x:c r="G76" s="25" t="d">
        <x:v>2026-07-06T00:00:00.000Z</x:v>
      </x:c>
      <x:c r="H76" s="9" t="str">
        <x:v>DISPERSIÓN</x:v>
      </x:c>
      <x:c r="I76" s="9" t="str">
        <x:v>DIS-LARENAH-06072026.pdf</x:v>
      </x:c>
      <x:c r="J76" s="9" t="str">
        <x:v>OTRO</x:v>
      </x:c>
      <x:c r="K76" s="9" t="str">
        <x:v>TRANSFERENCIA</x:v>
      </x:c>
      <x:c r="L76" s="9" t="str">
        <x:v>MXN</x:v>
      </x:c>
      <x:c r="M76" s="30" t="n">
        <x:v>3</x:v>
      </x:c>
      <x:c r="N76" s="30" t="n">
        <x:v>1852</x:v>
      </x:c>
    </x:row>
    <x:row r="77" ht="42" customHeight="1">
      <x:c r="A77" s="9" t="str">
        <x:v>REV-017</x:v>
      </x:c>
      <x:c r="B77" s="9" t="str">
        <x:v>TORRE_H</x:v>
      </x:c>
      <x:c r="C77" s="9" t="str">
        <x:v>ALBAÑILERÍAS</x:v>
      </x:c>
      <x:c r="D77" s="9" t="str">
        <x:v>MANO_OBRA</x:v>
      </x:c>
      <x:c r="E77" s="9" t="str">
        <x:v>OFICIAL CARPINTERO DE OBRA NEGRA</x:v>
      </x:c>
      <x:c r="F77" s="37" t="n">
        <x:v>7900</x:v>
      </x:c>
      <x:c r="G77" s="25" t="d">
        <x:v>2026-07-06T00:00:00.000Z</x:v>
      </x:c>
      <x:c r="H77" s="9" t="str">
        <x:v>DISPERSIÓN</x:v>
      </x:c>
      <x:c r="I77" s="9" t="str">
        <x:v>DIS-LARENAH-06072026.pdf</x:v>
      </x:c>
      <x:c r="J77" s="9" t="str">
        <x:v>OTRO</x:v>
      </x:c>
      <x:c r="K77" s="9" t="str">
        <x:v>TRANSFERENCIA</x:v>
      </x:c>
      <x:c r="L77" s="9" t="str">
        <x:v>MXN</x:v>
      </x:c>
      <x:c r="M77" s="30" t="n">
        <x:v>2</x:v>
      </x:c>
      <x:c r="N77" s="30" t="n">
        <x:v>1854</x:v>
      </x:c>
    </x:row>
    <x:row r="78" ht="42" customHeight="1">
      <x:c r="A78" s="9" t="str">
        <x:v>REV-018</x:v>
      </x:c>
      <x:c r="B78" s="9" t="str">
        <x:v>TORRE_H</x:v>
      </x:c>
      <x:c r="C78" s="9" t="str">
        <x:v>ALBAÑILERÍAS</x:v>
      </x:c>
      <x:c r="D78" s="9" t="str">
        <x:v>MANO_OBRA</x:v>
      </x:c>
      <x:c r="E78" s="9" t="str">
        <x:v>AYUDANTE DE ALBAÑIL</x:v>
      </x:c>
      <x:c r="F78" s="37" t="n">
        <x:v>7088</x:v>
      </x:c>
      <x:c r="G78" s="25" t="d">
        <x:v>2026-07-06T00:00:00.000Z</x:v>
      </x:c>
      <x:c r="H78" s="9" t="str">
        <x:v>EFECTIVO</x:v>
      </x:c>
      <x:c r="I78" s="9" t="str">
        <x:v>EFE-LARENAH-06072026.pdf</x:v>
      </x:c>
      <x:c r="J78" s="9" t="str">
        <x:v>OTRO</x:v>
      </x:c>
      <x:c r="K78" s="9" t="str">
        <x:v>EFECTIVO</x:v>
      </x:c>
      <x:c r="L78" s="9" t="str">
        <x:v>MXN</x:v>
      </x:c>
      <x:c r="M78" s="30" t="n">
        <x:v>4</x:v>
      </x:c>
      <x:c r="N78" s="30" t="n">
        <x:v>1846</x:v>
      </x:c>
    </x:row>
    <x:row r="79" ht="42" customHeight="1">
      <x:c r="A79" s="9" t="str">
        <x:v>REV-018</x:v>
      </x:c>
      <x:c r="B79" s="9" t="str">
        <x:v>TORRE_H</x:v>
      </x:c>
      <x:c r="C79" s="9" t="str">
        <x:v>ALBAÑILERÍAS</x:v>
      </x:c>
      <x:c r="D79" s="9" t="str">
        <x:v>MANO_OBRA</x:v>
      </x:c>
      <x:c r="E79" s="9" t="str">
        <x:v>CABO DE OFICIOS</x:v>
      </x:c>
      <x:c r="F79" s="37" t="n">
        <x:v>3348</x:v>
      </x:c>
      <x:c r="G79" s="25" t="d">
        <x:v>2026-07-06T00:00:00.000Z</x:v>
      </x:c>
      <x:c r="H79" s="9" t="str">
        <x:v>EFECTIVO</x:v>
      </x:c>
      <x:c r="I79" s="9" t="str">
        <x:v>EFE-LARENAH-06072026.pdf</x:v>
      </x:c>
      <x:c r="J79" s="9" t="str">
        <x:v>OTRO</x:v>
      </x:c>
      <x:c r="K79" s="9" t="str">
        <x:v>EFECTIVO</x:v>
      </x:c>
      <x:c r="L79" s="9" t="str">
        <x:v>MXN</x:v>
      </x:c>
      <x:c r="M79" s="30" t="n">
        <x:v>1</x:v>
      </x:c>
      <x:c r="N79" s="30" t="n">
        <x:v>1848</x:v>
      </x:c>
    </x:row>
    <x:row r="80" ht="42" customHeight="1">
      <x:c r="A80" s="9" t="str">
        <x:v>REV-018</x:v>
      </x:c>
      <x:c r="B80" s="9" t="str">
        <x:v>TORRE_H</x:v>
      </x:c>
      <x:c r="C80" s="9" t="str">
        <x:v>ALBAÑILERÍAS</x:v>
      </x:c>
      <x:c r="D80" s="9" t="str">
        <x:v>MANO_OBRA</x:v>
      </x:c>
      <x:c r="E80" s="9" t="str">
        <x:v>OFICIAL ALBAÑIL</x:v>
      </x:c>
      <x:c r="F80" s="37" t="n">
        <x:v>7650</x:v>
      </x:c>
      <x:c r="G80" s="25" t="d">
        <x:v>2026-07-06T00:00:00.000Z</x:v>
      </x:c>
      <x:c r="H80" s="9" t="str">
        <x:v>EFECTIVO</x:v>
      </x:c>
      <x:c r="I80" s="9" t="str">
        <x:v>EFE-LARENAH-06072026.pdf</x:v>
      </x:c>
      <x:c r="J80" s="9" t="str">
        <x:v>OTRO</x:v>
      </x:c>
      <x:c r="K80" s="9" t="str">
        <x:v>EFECTIVO</x:v>
      </x:c>
      <x:c r="L80" s="9" t="str">
        <x:v>MXN</x:v>
      </x:c>
      <x:c r="M80" s="30" t="n">
        <x:v>3</x:v>
      </x:c>
      <x:c r="N80" s="30" t="n">
        <x:v>1851</x:v>
      </x:c>
    </x:row>
    <x:row r="81" ht="42" customHeight="1">
      <x:c r="A81" s="9" t="str">
        <x:v>REV-018</x:v>
      </x:c>
      <x:c r="B81" s="9" t="str">
        <x:v>TORRE_H</x:v>
      </x:c>
      <x:c r="C81" s="9" t="str">
        <x:v>ALBAÑILERÍAS</x:v>
      </x:c>
      <x:c r="D81" s="9" t="str">
        <x:v>MANO_OBRA</x:v>
      </x:c>
      <x:c r="E81" s="9" t="str">
        <x:v>OFICIAL CARPINTERO DE OBRA NEGRA</x:v>
      </x:c>
      <x:c r="F81" s="37" t="n">
        <x:v>5100</x:v>
      </x:c>
      <x:c r="G81" s="25" t="d">
        <x:v>2026-07-06T00:00:00.000Z</x:v>
      </x:c>
      <x:c r="H81" s="9" t="str">
        <x:v>EFECTIVO</x:v>
      </x:c>
      <x:c r="I81" s="9" t="str">
        <x:v>EFE-LARENAH-06072026.pdf</x:v>
      </x:c>
      <x:c r="J81" s="9" t="str">
        <x:v>OTRO</x:v>
      </x:c>
      <x:c r="K81" s="9" t="str">
        <x:v>EFECTIVO</x:v>
      </x:c>
      <x:c r="L81" s="9" t="str">
        <x:v>MXN</x:v>
      </x:c>
      <x:c r="M81" s="30" t="n">
        <x:v>2</x:v>
      </x:c>
      <x:c r="N81" s="30" t="n">
        <x:v>1853</x:v>
      </x:c>
    </x:row>
    <x:row r="82" ht="42" customHeight="1">
      <x:c r="A82" s="9" t="str">
        <x:v>REV-019</x:v>
      </x:c>
      <x:c r="B82" s="9" t="str">
        <x:v>TORRE_H</x:v>
      </x:c>
      <x:c r="C82" s="9" t="str">
        <x:v>ALBAÑILERÍAS</x:v>
      </x:c>
      <x:c r="D82" s="9" t="str">
        <x:v>MANO_OBRA</x:v>
      </x:c>
      <x:c r="E82" s="9" t="str">
        <x:v>AYUDANTE DE ALBAÑIL</x:v>
      </x:c>
      <x:c r="F82" s="37" t="n">
        <x:v>8184</x:v>
      </x:c>
      <x:c r="G82" s="25" t="d">
        <x:v>2026-07-13T00:00:00.000Z</x:v>
      </x:c>
      <x:c r="H82" s="9" t="str">
        <x:v>DISPERSIÓN</x:v>
      </x:c>
      <x:c r="I82" s="9" t="str">
        <x:v>DIS-LARENAH-13072026.pdf</x:v>
      </x:c>
      <x:c r="J82" s="9" t="str">
        <x:v>OTRO</x:v>
      </x:c>
      <x:c r="K82" s="9" t="str">
        <x:v>TRANSFERENCIA</x:v>
      </x:c>
      <x:c r="L82" s="9" t="str">
        <x:v>MXN</x:v>
      </x:c>
      <x:c r="M82" s="30" t="n">
        <x:v>4</x:v>
      </x:c>
      <x:c r="N82" s="30" t="n">
        <x:v>1856</x:v>
      </x:c>
    </x:row>
    <x:row r="83" ht="42" customHeight="1">
      <x:c r="A83" s="9" t="str">
        <x:v>REV-019</x:v>
      </x:c>
      <x:c r="B83" s="9" t="str">
        <x:v>TORRE_H</x:v>
      </x:c>
      <x:c r="C83" s="9" t="str">
        <x:v>ALBAÑILERÍAS</x:v>
      </x:c>
      <x:c r="D83" s="9" t="str">
        <x:v>MANO_OBRA</x:v>
      </x:c>
      <x:c r="E83" s="9" t="str">
        <x:v>FASAR 36+IVA%</x:v>
      </x:c>
      <x:c r="F83" s="37" t="n">
        <x:v>16255.38</x:v>
      </x:c>
      <x:c r="G83" s="25" t="d">
        <x:v>2026-07-13T00:00:00.000Z</x:v>
      </x:c>
      <x:c r="H83" s="9" t="str">
        <x:v>DISPERSIÓN</x:v>
      </x:c>
      <x:c r="I83" s="9" t="str">
        <x:v>DIS-LARENAH-13072026.pdf</x:v>
      </x:c>
      <x:c r="J83" s="9" t="str">
        <x:v>OTRO</x:v>
      </x:c>
      <x:c r="K83" s="9" t="str">
        <x:v>TRANSFERENCIA</x:v>
      </x:c>
      <x:c r="L83" s="9" t="str">
        <x:v>MXN</x:v>
      </x:c>
      <x:c r="M83" s="30"/>
      <x:c r="N83" s="30" t="n">
        <x:v>1857</x:v>
      </x:c>
    </x:row>
    <x:row r="84" ht="42" customHeight="1">
      <x:c r="A84" s="9" t="str">
        <x:v>REV-019</x:v>
      </x:c>
      <x:c r="B84" s="9" t="str">
        <x:v>TORRE_H</x:v>
      </x:c>
      <x:c r="C84" s="9" t="str">
        <x:v>ALBAÑILERÍAS</x:v>
      </x:c>
      <x:c r="D84" s="9" t="str">
        <x:v>MANO_OBRA</x:v>
      </x:c>
      <x:c r="E84" s="9" t="str">
        <x:v>OFICIAL ALBAÑIL</x:v>
      </x:c>
      <x:c r="F84" s="37" t="n">
        <x:v>7900</x:v>
      </x:c>
      <x:c r="G84" s="25" t="d">
        <x:v>2026-07-13T00:00:00.000Z</x:v>
      </x:c>
      <x:c r="H84" s="9" t="str">
        <x:v>DISPERSIÓN</x:v>
      </x:c>
      <x:c r="I84" s="9" t="str">
        <x:v>DIS-LARENAH-13072026.pdf</x:v>
      </x:c>
      <x:c r="J84" s="9" t="str">
        <x:v>OTRO</x:v>
      </x:c>
      <x:c r="K84" s="9" t="str">
        <x:v>TRANSFERENCIA</x:v>
      </x:c>
      <x:c r="L84" s="9" t="str">
        <x:v>MXN</x:v>
      </x:c>
      <x:c r="M84" s="30" t="n">
        <x:v>3</x:v>
      </x:c>
      <x:c r="N84" s="30" t="n">
        <x:v>1859</x:v>
      </x:c>
    </x:row>
    <x:row r="85" ht="42" customHeight="1">
      <x:c r="A85" s="9" t="str">
        <x:v>REV-019</x:v>
      </x:c>
      <x:c r="B85" s="9" t="str">
        <x:v>TORRE_H</x:v>
      </x:c>
      <x:c r="C85" s="9" t="str">
        <x:v>ALBAÑILERÍAS</x:v>
      </x:c>
      <x:c r="D85" s="9" t="str">
        <x:v>MANO_OBRA</x:v>
      </x:c>
      <x:c r="E85" s="9" t="str">
        <x:v>OFICIAL CARPINTERO DE OBRA NEGRA</x:v>
      </x:c>
      <x:c r="F85" s="37" t="n">
        <x:v>7352.25</x:v>
      </x:c>
      <x:c r="G85" s="25" t="d">
        <x:v>2026-07-13T00:00:00.000Z</x:v>
      </x:c>
      <x:c r="H85" s="9" t="str">
        <x:v>DISPERSIÓN</x:v>
      </x:c>
      <x:c r="I85" s="9" t="str">
        <x:v>DIS-LARENAH-13072026.pdf</x:v>
      </x:c>
      <x:c r="J85" s="9" t="str">
        <x:v>OTRO</x:v>
      </x:c>
      <x:c r="K85" s="9" t="str">
        <x:v>TRANSFERENCIA</x:v>
      </x:c>
      <x:c r="L85" s="9" t="str">
        <x:v>MXN</x:v>
      </x:c>
      <x:c r="M85" s="30" t="n">
        <x:v>3</x:v>
      </x:c>
      <x:c r="N85" s="30" t="n">
        <x:v>1861</x:v>
      </x:c>
    </x:row>
    <x:row r="86" ht="42" customHeight="1">
      <x:c r="A86" s="9" t="str">
        <x:v>REV-020</x:v>
      </x:c>
      <x:c r="B86" s="9" t="str">
        <x:v>TORRE_H</x:v>
      </x:c>
      <x:c r="C86" s="9" t="str">
        <x:v>ALBAÑILERÍAS</x:v>
      </x:c>
      <x:c r="D86" s="9" t="str">
        <x:v>MANO_OBRA</x:v>
      </x:c>
      <x:c r="E86" s="9" t="str">
        <x:v>AYUDANTE DE ALBAÑIL</x:v>
      </x:c>
      <x:c r="F86" s="37" t="n">
        <x:v>5316</x:v>
      </x:c>
      <x:c r="G86" s="25" t="d">
        <x:v>2026-07-13T00:00:00.000Z</x:v>
      </x:c>
      <x:c r="H86" s="9" t="str">
        <x:v>EFECTIVO</x:v>
      </x:c>
      <x:c r="I86" s="9" t="str">
        <x:v>EFE-LARENAH-13072026.pdf</x:v>
      </x:c>
      <x:c r="J86" s="9" t="str">
        <x:v>OTRO</x:v>
      </x:c>
      <x:c r="K86" s="9" t="str">
        <x:v>EFECTIVO</x:v>
      </x:c>
      <x:c r="L86" s="9" t="str">
        <x:v>MXN</x:v>
      </x:c>
      <x:c r="M86" s="30" t="n">
        <x:v>4</x:v>
      </x:c>
      <x:c r="N86" s="30" t="n">
        <x:v>1855</x:v>
      </x:c>
    </x:row>
    <x:row r="87" ht="42" customHeight="1">
      <x:c r="A87" s="9" t="str">
        <x:v>REV-020</x:v>
      </x:c>
      <x:c r="B87" s="9" t="str">
        <x:v>TORRE_H</x:v>
      </x:c>
      <x:c r="C87" s="9" t="str">
        <x:v>ALBAÑILERÍAS</x:v>
      </x:c>
      <x:c r="D87" s="9" t="str">
        <x:v>MANO_OBRA</x:v>
      </x:c>
      <x:c r="E87" s="9" t="str">
        <x:v>OFICIAL ALBAÑIL</x:v>
      </x:c>
      <x:c r="F87" s="37" t="n">
        <x:v>5100</x:v>
      </x:c>
      <x:c r="G87" s="25" t="d">
        <x:v>2026-07-13T00:00:00.000Z</x:v>
      </x:c>
      <x:c r="H87" s="9" t="str">
        <x:v>EFECTIVO</x:v>
      </x:c>
      <x:c r="I87" s="9" t="str">
        <x:v>EFE-LARENAH-13072026.pdf</x:v>
      </x:c>
      <x:c r="J87" s="9" t="str">
        <x:v>OTRO</x:v>
      </x:c>
      <x:c r="K87" s="9" t="str">
        <x:v>EFECTIVO</x:v>
      </x:c>
      <x:c r="L87" s="9" t="str">
        <x:v>MXN</x:v>
      </x:c>
      <x:c r="M87" s="30" t="n">
        <x:v>3</x:v>
      </x:c>
      <x:c r="N87" s="30" t="n">
        <x:v>1858</x:v>
      </x:c>
    </x:row>
    <x:row r="88" ht="42" customHeight="1">
      <x:c r="A88" s="9" t="str">
        <x:v>REV-020</x:v>
      </x:c>
      <x:c r="B88" s="9" t="str">
        <x:v>TORRE_H</x:v>
      </x:c>
      <x:c r="C88" s="9" t="str">
        <x:v>ALBAÑILERÍAS</x:v>
      </x:c>
      <x:c r="D88" s="9" t="str">
        <x:v>MANO_OBRA</x:v>
      </x:c>
      <x:c r="E88" s="9" t="str">
        <x:v>OFICIAL CARPINTERO DE OBRA NEGRA</x:v>
      </x:c>
      <x:c r="F88" s="37" t="n">
        <x:v>4719.18</x:v>
      </x:c>
      <x:c r="G88" s="25" t="d">
        <x:v>2026-07-13T00:00:00.000Z</x:v>
      </x:c>
      <x:c r="H88" s="9" t="str">
        <x:v>EFECTIVO</x:v>
      </x:c>
      <x:c r="I88" s="9" t="str">
        <x:v>EFE-LARENAH-13072026.pdf</x:v>
      </x:c>
      <x:c r="J88" s="9" t="str">
        <x:v>OTRO</x:v>
      </x:c>
      <x:c r="K88" s="9" t="str">
        <x:v>EFECTIVO</x:v>
      </x:c>
      <x:c r="L88" s="9" t="str">
        <x:v>MXN</x:v>
      </x:c>
      <x:c r="M88" s="30" t="n">
        <x:v>3</x:v>
      </x:c>
      <x:c r="N88" s="30" t="n">
        <x:v>1860</x:v>
      </x:c>
    </x:row>
    <x:row r="89" ht="42" customHeight="1">
      <x:c r="A89" s="9" t="str">
        <x:v>REV-021</x:v>
      </x:c>
      <x:c r="B89" s="9" t="str">
        <x:v>TORRE_H</x:v>
      </x:c>
      <x:c r="C89" s="9" t="str">
        <x:v>ALBAÑILERÍAS</x:v>
      </x:c>
      <x:c r="D89" s="9" t="str">
        <x:v>MANO_OBRA</x:v>
      </x:c>
      <x:c r="E89" s="9" t="str">
        <x:v>AYUDANTE DE ALBAÑIL</x:v>
      </x:c>
      <x:c r="F89" s="37" t="n">
        <x:v>16059.16</x:v>
      </x:c>
      <x:c r="G89" s="25" t="d">
        <x:v>2026-07-20T00:00:00.000Z</x:v>
      </x:c>
      <x:c r="H89" s="9" t="str">
        <x:v>DISPERSIÓN</x:v>
      </x:c>
      <x:c r="I89" s="9" t="str">
        <x:v>DIS-LARENAH-20072026.pdf</x:v>
      </x:c>
      <x:c r="J89" s="9" t="str">
        <x:v>OTRO</x:v>
      </x:c>
      <x:c r="K89" s="9" t="str">
        <x:v>TRANSFERENCIA</x:v>
      </x:c>
      <x:c r="L89" s="9" t="str">
        <x:v>MXN</x:v>
      </x:c>
      <x:c r="M89" s="30" t="n">
        <x:v>6</x:v>
      </x:c>
      <x:c r="N89" s="30" t="n">
        <x:v>1863</x:v>
      </x:c>
    </x:row>
    <x:row r="90" ht="42" customHeight="1">
      <x:c r="A90" s="9" t="str">
        <x:v>REV-021</x:v>
      </x:c>
      <x:c r="B90" s="9" t="str">
        <x:v>TORRE_H</x:v>
      </x:c>
      <x:c r="C90" s="9" t="str">
        <x:v>ALBAÑILERÍAS</x:v>
      </x:c>
      <x:c r="D90" s="9" t="str">
        <x:v>MANO_OBRA</x:v>
      </x:c>
      <x:c r="E90" s="9" t="str">
        <x:v>CABO DE OFICIOS</x:v>
      </x:c>
      <x:c r="F90" s="37" t="n">
        <x:v>5152</x:v>
      </x:c>
      <x:c r="G90" s="25" t="d">
        <x:v>2026-07-20T00:00:00.000Z</x:v>
      </x:c>
      <x:c r="H90" s="9" t="str">
        <x:v>DISPERSIÓN</x:v>
      </x:c>
      <x:c r="I90" s="9" t="str">
        <x:v>DIS-LARENAH-20072026.pdf</x:v>
      </x:c>
      <x:c r="J90" s="9" t="str">
        <x:v>OTRO</x:v>
      </x:c>
      <x:c r="K90" s="9" t="str">
        <x:v>TRANSFERENCIA</x:v>
      </x:c>
      <x:c r="L90" s="9" t="str">
        <x:v>MXN</x:v>
      </x:c>
      <x:c r="M90" s="30" t="n">
        <x:v>1</x:v>
      </x:c>
      <x:c r="N90" s="30" t="n">
        <x:v>1865</x:v>
      </x:c>
    </x:row>
    <x:row r="91" ht="42" customHeight="1">
      <x:c r="A91" s="9" t="str">
        <x:v>REV-021</x:v>
      </x:c>
      <x:c r="B91" s="9" t="str">
        <x:v>TORRE_H</x:v>
      </x:c>
      <x:c r="C91" s="9" t="str">
        <x:v>ALBAÑILERÍAS</x:v>
      </x:c>
      <x:c r="D91" s="9" t="str">
        <x:v>MANO_OBRA</x:v>
      </x:c>
      <x:c r="E91" s="9" t="str">
        <x:v>FASAR 36+IVA%</x:v>
      </x:c>
      <x:c r="F91" s="37" t="n">
        <x:v>28118.93</x:v>
      </x:c>
      <x:c r="G91" s="25" t="d">
        <x:v>2026-07-20T00:00:00.000Z</x:v>
      </x:c>
      <x:c r="H91" s="9" t="str">
        <x:v>DISPERSIÓN</x:v>
      </x:c>
      <x:c r="I91" s="9" t="str">
        <x:v>DIS-LARENAH-20072026.pdf</x:v>
      </x:c>
      <x:c r="J91" s="9" t="str">
        <x:v>OTRO</x:v>
      </x:c>
      <x:c r="K91" s="9" t="str">
        <x:v>TRANSFERENCIA</x:v>
      </x:c>
      <x:c r="L91" s="9" t="str">
        <x:v>MXN</x:v>
      </x:c>
      <x:c r="M91" s="30"/>
      <x:c r="N91" s="30" t="n">
        <x:v>1866</x:v>
      </x:c>
    </x:row>
    <x:row r="92" ht="42" customHeight="1">
      <x:c r="A92" s="9" t="str">
        <x:v>REV-021</x:v>
      </x:c>
      <x:c r="B92" s="9" t="str">
        <x:v>TORRE_H</x:v>
      </x:c>
      <x:c r="C92" s="9" t="str">
        <x:v>ALBAÑILERÍAS</x:v>
      </x:c>
      <x:c r="D92" s="9" t="str">
        <x:v>MANO_OBRA</x:v>
      </x:c>
      <x:c r="E92" s="9" t="str">
        <x:v>OFICIAL ALBAÑIL</x:v>
      </x:c>
      <x:c r="F92" s="37" t="n">
        <x:v>7900</x:v>
      </x:c>
      <x:c r="G92" s="25" t="d">
        <x:v>2026-07-20T00:00:00.000Z</x:v>
      </x:c>
      <x:c r="H92" s="9" t="str">
        <x:v>DISPERSIÓN</x:v>
      </x:c>
      <x:c r="I92" s="9" t="str">
        <x:v>DIS-LARENAH-20072026.pdf</x:v>
      </x:c>
      <x:c r="J92" s="9" t="str">
        <x:v>OTRO</x:v>
      </x:c>
      <x:c r="K92" s="9" t="str">
        <x:v>TRANSFERENCIA</x:v>
      </x:c>
      <x:c r="L92" s="9" t="str">
        <x:v>MXN</x:v>
      </x:c>
      <x:c r="M92" s="30" t="n">
        <x:v>2</x:v>
      </x:c>
      <x:c r="N92" s="30" t="n">
        <x:v>1868</x:v>
      </x:c>
    </x:row>
    <x:row r="93" ht="42" customHeight="1">
      <x:c r="A93" s="9" t="str">
        <x:v>REV-021</x:v>
      </x:c>
      <x:c r="B93" s="9" t="str">
        <x:v>TORRE_H</x:v>
      </x:c>
      <x:c r="C93" s="9" t="str">
        <x:v>ALBAÑILERÍAS</x:v>
      </x:c>
      <x:c r="D93" s="9" t="str">
        <x:v>MANO_OBRA</x:v>
      </x:c>
      <x:c r="E93" s="9" t="str">
        <x:v>OFICIAL CARPINTERO DE OBRA NEGRA</x:v>
      </x:c>
      <x:c r="F93" s="37" t="n">
        <x:v>11429.39</x:v>
      </x:c>
      <x:c r="G93" s="25" t="d">
        <x:v>2026-07-20T00:00:00.000Z</x:v>
      </x:c>
      <x:c r="H93" s="9" t="str">
        <x:v>DISPERSIÓN</x:v>
      </x:c>
      <x:c r="I93" s="9" t="str">
        <x:v>DIS-LARENAH-20072026.pdf</x:v>
      </x:c>
      <x:c r="J93" s="9" t="str">
        <x:v>OTRO</x:v>
      </x:c>
      <x:c r="K93" s="9" t="str">
        <x:v>TRANSFERENCIA</x:v>
      </x:c>
      <x:c r="L93" s="9" t="str">
        <x:v>MXN</x:v>
      </x:c>
      <x:c r="M93" s="30" t="n">
        <x:v>3</x:v>
      </x:c>
      <x:c r="N93" s="30" t="n">
        <x:v>1870</x:v>
      </x:c>
    </x:row>
    <x:row r="94" ht="42" customHeight="1">
      <x:c r="A94" s="9" t="str">
        <x:v>REV-022</x:v>
      </x:c>
      <x:c r="B94" s="9" t="str">
        <x:v>TORRE_H</x:v>
      </x:c>
      <x:c r="C94" s="9" t="str">
        <x:v>ALBAÑILERÍAS</x:v>
      </x:c>
      <x:c r="D94" s="9" t="str">
        <x:v>MANO_OBRA</x:v>
      </x:c>
      <x:c r="E94" s="9" t="str">
        <x:v>AYUDANTE DE ALBAÑIL</x:v>
      </x:c>
      <x:c r="F94" s="37" t="n">
        <x:v>10297.98</x:v>
      </x:c>
      <x:c r="G94" s="25" t="d">
        <x:v>2026-07-20T00:00:00.000Z</x:v>
      </x:c>
      <x:c r="H94" s="9" t="str">
        <x:v>EFECTIVO</x:v>
      </x:c>
      <x:c r="I94" s="9" t="str">
        <x:v>EFE-LARENAH-20072026.pdf</x:v>
      </x:c>
      <x:c r="J94" s="9" t="str">
        <x:v>OTRO</x:v>
      </x:c>
      <x:c r="K94" s="9" t="str">
        <x:v>EFECTIVO</x:v>
      </x:c>
      <x:c r="L94" s="9" t="str">
        <x:v>MXN</x:v>
      </x:c>
      <x:c r="M94" s="30" t="n">
        <x:v>6</x:v>
      </x:c>
      <x:c r="N94" s="30" t="n">
        <x:v>1862</x:v>
      </x:c>
    </x:row>
    <x:row r="95" ht="42" customHeight="1">
      <x:c r="A95" s="9" t="str">
        <x:v>REV-022</x:v>
      </x:c>
      <x:c r="B95" s="9" t="str">
        <x:v>TORRE_H</x:v>
      </x:c>
      <x:c r="C95" s="9" t="str">
        <x:v>ALBAÑILERÍAS</x:v>
      </x:c>
      <x:c r="D95" s="9" t="str">
        <x:v>MANO_OBRA</x:v>
      </x:c>
      <x:c r="E95" s="9" t="str">
        <x:v>CABO DE OFICIOS</x:v>
      </x:c>
      <x:c r="F95" s="37" t="n">
        <x:v>2740.86</x:v>
      </x:c>
      <x:c r="G95" s="25" t="d">
        <x:v>2026-07-20T00:00:00.000Z</x:v>
      </x:c>
      <x:c r="H95" s="9" t="str">
        <x:v>EFECTIVO</x:v>
      </x:c>
      <x:c r="I95" s="9" t="str">
        <x:v>EFE-LARENAH-20072026.pdf</x:v>
      </x:c>
      <x:c r="J95" s="9" t="str">
        <x:v>OTRO</x:v>
      </x:c>
      <x:c r="K95" s="9" t="str">
        <x:v>EFECTIVO</x:v>
      </x:c>
      <x:c r="L95" s="9" t="str">
        <x:v>MXN</x:v>
      </x:c>
      <x:c r="M95" s="30" t="n">
        <x:v>1</x:v>
      </x:c>
      <x:c r="N95" s="30" t="n">
        <x:v>1864</x:v>
      </x:c>
    </x:row>
    <x:row r="96" ht="42" customHeight="1">
      <x:c r="A96" s="9" t="str">
        <x:v>REV-022</x:v>
      </x:c>
      <x:c r="B96" s="9" t="str">
        <x:v>TORRE_H</x:v>
      </x:c>
      <x:c r="C96" s="9" t="str">
        <x:v>ALBAÑILERÍAS</x:v>
      </x:c>
      <x:c r="D96" s="9" t="str">
        <x:v>MANO_OBRA</x:v>
      </x:c>
      <x:c r="E96" s="9" t="str">
        <x:v>OFICIAL ALBAÑIL</x:v>
      </x:c>
      <x:c r="F96" s="37" t="n">
        <x:v>5100</x:v>
      </x:c>
      <x:c r="G96" s="25" t="d">
        <x:v>2026-07-20T00:00:00.000Z</x:v>
      </x:c>
      <x:c r="H96" s="9" t="str">
        <x:v>EFECTIVO</x:v>
      </x:c>
      <x:c r="I96" s="9" t="str">
        <x:v>EFE-LARENAH-20072026.pdf</x:v>
      </x:c>
      <x:c r="J96" s="9" t="str">
        <x:v>OTRO</x:v>
      </x:c>
      <x:c r="K96" s="9" t="str">
        <x:v>EFECTIVO</x:v>
      </x:c>
      <x:c r="L96" s="9" t="str">
        <x:v>MXN</x:v>
      </x:c>
      <x:c r="M96" s="30" t="n">
        <x:v>2</x:v>
      </x:c>
      <x:c r="N96" s="30" t="n">
        <x:v>1867</x:v>
      </x:c>
    </x:row>
    <x:row r="97" ht="42" customHeight="1">
      <x:c r="A97" s="9" t="str">
        <x:v>REV-022</x:v>
      </x:c>
      <x:c r="B97" s="9" t="str">
        <x:v>TORRE_H</x:v>
      </x:c>
      <x:c r="C97" s="9" t="str">
        <x:v>ALBAÑILERÍAS</x:v>
      </x:c>
      <x:c r="D97" s="9" t="str">
        <x:v>MANO_OBRA</x:v>
      </x:c>
      <x:c r="E97" s="9" t="str">
        <x:v>OFICIAL CARPINTERO DE OBRA NEGRA</x:v>
      </x:c>
      <x:c r="F97" s="37" t="n">
        <x:v>7142.04</x:v>
      </x:c>
      <x:c r="G97" s="25" t="d">
        <x:v>2026-07-20T00:00:00.000Z</x:v>
      </x:c>
      <x:c r="H97" s="9" t="str">
        <x:v>EFECTIVO</x:v>
      </x:c>
      <x:c r="I97" s="9" t="str">
        <x:v>EFE-LARENAH-20072026.pdf</x:v>
      </x:c>
      <x:c r="J97" s="9" t="str">
        <x:v>OTRO</x:v>
      </x:c>
      <x:c r="K97" s="9" t="str">
        <x:v>EFECTIVO</x:v>
      </x:c>
      <x:c r="L97" s="9" t="str">
        <x:v>MXN</x:v>
      </x:c>
      <x:c r="M97" s="30" t="n">
        <x:v>3</x:v>
      </x:c>
      <x:c r="N97" s="30" t="n">
        <x:v>1869</x:v>
      </x:c>
    </x:row>
    <x:row r="98" ht="42" customHeight="1">
      <x:c r="A98" s="9" t="str">
        <x:v>REV-023</x:v>
      </x:c>
      <x:c r="B98" s="9" t="str">
        <x:v>TORRE_H</x:v>
      </x:c>
      <x:c r="C98" s="9" t="str">
        <x:v>ALBAÑILERÍAS</x:v>
      </x:c>
      <x:c r="D98" s="9" t="str">
        <x:v>IMPERMEABILIZANTES</x:v>
      </x:c>
      <x:c r="E98" s="9" t="str">
        <x:v>PLASTICO NEGRO NMICRAS</x:v>
      </x:c>
      <x:c r="F98" s="37" t="n">
        <x:v>4534.61</x:v>
      </x:c>
      <x:c r="G98" s="25" t="d">
        <x:v>2026-07-24T00:00:00.000Z</x:v>
      </x:c>
      <x:c r="H98" s="9" t="str">
        <x:v>ACEROS CABOS SA DE CV</x:v>
      </x:c>
      <x:c r="I98" s="9" t="str">
        <x:v>ACA--260724.pdf</x:v>
      </x:c>
      <x:c r="J98" s="9" t="str">
        <x:v>MATERIAL</x:v>
      </x:c>
      <x:c r="K98" s="9" t="str">
        <x:v>TRANSFERENCIA</x:v>
      </x:c>
      <x:c r="L98" s="9" t="str">
        <x:v>MXN</x:v>
      </x:c>
      <x:c r="M98" s="30"/>
      <x:c r="N98" s="30" t="n">
        <x:v>1539</x:v>
      </x:c>
    </x:row>
    <x:row r="99" ht="42" customHeight="1">
      <x:c r="A99" s="9" t="str">
        <x:v>REV-024</x:v>
      </x:c>
      <x:c r="B99" s="9" t="str">
        <x:v>TORRE_H</x:v>
      </x:c>
      <x:c r="C99" s="9" t="str">
        <x:v>ALBAÑILERÍAS</x:v>
      </x:c>
      <x:c r="D99" s="9" t="str">
        <x:v>MANO_OBRA</x:v>
      </x:c>
      <x:c r="E99" s="9" t="str">
        <x:v>AYUDANTE DE ALBAÑIL</x:v>
      </x:c>
      <x:c r="F99" s="37" t="n">
        <x:v>16368</x:v>
      </x:c>
      <x:c r="G99" s="25" t="d">
        <x:v>2026-07-27T00:00:00.000Z</x:v>
      </x:c>
      <x:c r="H99" s="9" t="str">
        <x:v>DISPERSIÓN</x:v>
      </x:c>
      <x:c r="I99" s="9" t="str">
        <x:v>DIS-LARENAH-27072026.pdf</x:v>
      </x:c>
      <x:c r="J99" s="9" t="str">
        <x:v>OTRO</x:v>
      </x:c>
      <x:c r="K99" s="9" t="str">
        <x:v>TRANSFERENCIA</x:v>
      </x:c>
      <x:c r="L99" s="9" t="str">
        <x:v>MXN</x:v>
      </x:c>
      <x:c r="M99" s="30" t="n">
        <x:v>6</x:v>
      </x:c>
      <x:c r="N99" s="30" t="n">
        <x:v>1872</x:v>
      </x:c>
    </x:row>
    <x:row r="100" ht="42" customHeight="1">
      <x:c r="A100" s="9" t="str">
        <x:v>REV-024</x:v>
      </x:c>
      <x:c r="B100" s="9" t="str">
        <x:v>TORRE_H</x:v>
      </x:c>
      <x:c r="C100" s="9" t="str">
        <x:v>ALBAÑILERÍAS</x:v>
      </x:c>
      <x:c r="D100" s="9" t="str">
        <x:v>MANO_OBRA</x:v>
      </x:c>
      <x:c r="E100" s="9" t="str">
        <x:v>CABO DE OFICIOS</x:v>
      </x:c>
      <x:c r="F100" s="37" t="n">
        <x:v>5152</x:v>
      </x:c>
      <x:c r="G100" s="25" t="d">
        <x:v>2026-07-27T00:00:00.000Z</x:v>
      </x:c>
      <x:c r="H100" s="9" t="str">
        <x:v>DISPERSIÓN</x:v>
      </x:c>
      <x:c r="I100" s="9" t="str">
        <x:v>DIS-LARENAH-27072026.pdf</x:v>
      </x:c>
      <x:c r="J100" s="9" t="str">
        <x:v>OTRO</x:v>
      </x:c>
      <x:c r="K100" s="9" t="str">
        <x:v>TRANSFERENCIA</x:v>
      </x:c>
      <x:c r="L100" s="9" t="str">
        <x:v>MXN</x:v>
      </x:c>
      <x:c r="M100" s="30" t="n">
        <x:v>1</x:v>
      </x:c>
      <x:c r="N100" s="30" t="n">
        <x:v>1874</x:v>
      </x:c>
    </x:row>
    <x:row r="101" ht="42" customHeight="1">
      <x:c r="A101" s="9" t="str">
        <x:v>REV-024</x:v>
      </x:c>
      <x:c r="B101" s="9" t="str">
        <x:v>TORRE_H</x:v>
      </x:c>
      <x:c r="C101" s="9" t="str">
        <x:v>ALBAÑILERÍAS</x:v>
      </x:c>
      <x:c r="D101" s="9" t="str">
        <x:v>MANO_OBRA</x:v>
      </x:c>
      <x:c r="E101" s="9" t="str">
        <x:v>FASAR 36+IVA%</x:v>
      </x:c>
      <x:c r="F101" s="37" t="n">
        <x:v>28624.87</x:v>
      </x:c>
      <x:c r="G101" s="25" t="d">
        <x:v>2026-07-27T00:00:00.000Z</x:v>
      </x:c>
      <x:c r="H101" s="9" t="str">
        <x:v>DISPERSIÓN</x:v>
      </x:c>
      <x:c r="I101" s="9" t="str">
        <x:v>DIS-LARENAH-27072026.pdf</x:v>
      </x:c>
      <x:c r="J101" s="9" t="str">
        <x:v>OTRO</x:v>
      </x:c>
      <x:c r="K101" s="9" t="str">
        <x:v>TRANSFERENCIA</x:v>
      </x:c>
      <x:c r="L101" s="9" t="str">
        <x:v>MXN</x:v>
      </x:c>
      <x:c r="M101" s="30"/>
      <x:c r="N101" s="30" t="n">
        <x:v>1875</x:v>
      </x:c>
    </x:row>
    <x:row r="102" ht="42" customHeight="1">
      <x:c r="A102" s="9" t="str">
        <x:v>REV-024</x:v>
      </x:c>
      <x:c r="B102" s="9" t="str">
        <x:v>TORRE_H</x:v>
      </x:c>
      <x:c r="C102" s="9" t="str">
        <x:v>ALBAÑILERÍAS</x:v>
      </x:c>
      <x:c r="D102" s="9" t="str">
        <x:v>MANO_OBRA</x:v>
      </x:c>
      <x:c r="E102" s="9" t="str">
        <x:v>OFICIAL ALBAÑIL</x:v>
      </x:c>
      <x:c r="F102" s="37" t="n">
        <x:v>7900</x:v>
      </x:c>
      <x:c r="G102" s="25" t="d">
        <x:v>2026-07-27T00:00:00.000Z</x:v>
      </x:c>
      <x:c r="H102" s="9" t="str">
        <x:v>DISPERSIÓN</x:v>
      </x:c>
      <x:c r="I102" s="9" t="str">
        <x:v>DIS-LARENAH-27072026.pdf</x:v>
      </x:c>
      <x:c r="J102" s="9" t="str">
        <x:v>OTRO</x:v>
      </x:c>
      <x:c r="K102" s="9" t="str">
        <x:v>TRANSFERENCIA</x:v>
      </x:c>
      <x:c r="L102" s="9" t="str">
        <x:v>MXN</x:v>
      </x:c>
      <x:c r="M102" s="30" t="n">
        <x:v>2</x:v>
      </x:c>
      <x:c r="N102" s="30" t="n">
        <x:v>1877</x:v>
      </x:c>
    </x:row>
    <x:row r="103" ht="42" customHeight="1">
      <x:c r="A103" s="9" t="str">
        <x:v>REV-024</x:v>
      </x:c>
      <x:c r="B103" s="9" t="str">
        <x:v>TORRE_H</x:v>
      </x:c>
      <x:c r="C103" s="9" t="str">
        <x:v>ALBAÑILERÍAS</x:v>
      </x:c>
      <x:c r="D103" s="9" t="str">
        <x:v>MANO_OBRA</x:v>
      </x:c>
      <x:c r="E103" s="9" t="str">
        <x:v>OFICIAL CARPINTERO DE OBRA NEGRA</x:v>
      </x:c>
      <x:c r="F103" s="37" t="n">
        <x:v>11850</x:v>
      </x:c>
      <x:c r="G103" s="25" t="d">
        <x:v>2026-07-27T00:00:00.000Z</x:v>
      </x:c>
      <x:c r="H103" s="9" t="str">
        <x:v>DISPERSIÓN</x:v>
      </x:c>
      <x:c r="I103" s="9" t="str">
        <x:v>DIS-LARENAH-27072026.pdf</x:v>
      </x:c>
      <x:c r="J103" s="9" t="str">
        <x:v>OTRO</x:v>
      </x:c>
      <x:c r="K103" s="9" t="str">
        <x:v>TRANSFERENCIA</x:v>
      </x:c>
      <x:c r="L103" s="9" t="str">
        <x:v>MXN</x:v>
      </x:c>
      <x:c r="M103" s="30" t="n">
        <x:v>3</x:v>
      </x:c>
      <x:c r="N103" s="30" t="n">
        <x:v>1879</x:v>
      </x:c>
    </x:row>
    <x:row r="104" ht="42" customHeight="1">
      <x:c r="A104" s="9" t="str">
        <x:v>REV-025</x:v>
      </x:c>
      <x:c r="B104" s="9" t="str">
        <x:v>TORRE_H</x:v>
      </x:c>
      <x:c r="C104" s="9" t="str">
        <x:v>ALBAÑILERÍAS</x:v>
      </x:c>
      <x:c r="D104" s="9" t="str">
        <x:v>MANO_OBRA</x:v>
      </x:c>
      <x:c r="E104" s="9" t="str">
        <x:v>AYUDANTE DE ALBAÑIL</x:v>
      </x:c>
      <x:c r="F104" s="37" t="n">
        <x:v>10632</x:v>
      </x:c>
      <x:c r="G104" s="25" t="d">
        <x:v>2026-07-27T00:00:00.000Z</x:v>
      </x:c>
      <x:c r="H104" s="9" t="str">
        <x:v>EFECTIVO</x:v>
      </x:c>
      <x:c r="I104" s="9" t="str">
        <x:v>EFE-LARENAH-27072026.pdf</x:v>
      </x:c>
      <x:c r="J104" s="9" t="str">
        <x:v>OTRO</x:v>
      </x:c>
      <x:c r="K104" s="9" t="str">
        <x:v>EFECTIVO</x:v>
      </x:c>
      <x:c r="L104" s="9" t="str">
        <x:v>MXN</x:v>
      </x:c>
      <x:c r="M104" s="30" t="n">
        <x:v>6</x:v>
      </x:c>
      <x:c r="N104" s="30" t="n">
        <x:v>1871</x:v>
      </x:c>
    </x:row>
    <x:row r="105" ht="42" customHeight="1">
      <x:c r="A105" s="9" t="str">
        <x:v>REV-025</x:v>
      </x:c>
      <x:c r="B105" s="9" t="str">
        <x:v>TORRE_H</x:v>
      </x:c>
      <x:c r="C105" s="9" t="str">
        <x:v>ALBAÑILERÍAS</x:v>
      </x:c>
      <x:c r="D105" s="9" t="str">
        <x:v>MANO_OBRA</x:v>
      </x:c>
      <x:c r="E105" s="9" t="str">
        <x:v>CABO DE OFICIOS</x:v>
      </x:c>
      <x:c r="F105" s="37" t="n">
        <x:v>3348</x:v>
      </x:c>
      <x:c r="G105" s="25" t="d">
        <x:v>2026-07-27T00:00:00.000Z</x:v>
      </x:c>
      <x:c r="H105" s="9" t="str">
        <x:v>EFECTIVO</x:v>
      </x:c>
      <x:c r="I105" s="9" t="str">
        <x:v>EFE-LARENAH-27072026.pdf</x:v>
      </x:c>
      <x:c r="J105" s="9" t="str">
        <x:v>OTRO</x:v>
      </x:c>
      <x:c r="K105" s="9" t="str">
        <x:v>EFECTIVO</x:v>
      </x:c>
      <x:c r="L105" s="9" t="str">
        <x:v>MXN</x:v>
      </x:c>
      <x:c r="M105" s="30" t="n">
        <x:v>1</x:v>
      </x:c>
      <x:c r="N105" s="30" t="n">
        <x:v>1873</x:v>
      </x:c>
    </x:row>
    <x:row r="106" ht="42" customHeight="1">
      <x:c r="A106" s="9" t="str">
        <x:v>REV-025</x:v>
      </x:c>
      <x:c r="B106" s="9" t="str">
        <x:v>TORRE_H</x:v>
      </x:c>
      <x:c r="C106" s="9" t="str">
        <x:v>ALBAÑILERÍAS</x:v>
      </x:c>
      <x:c r="D106" s="9" t="str">
        <x:v>MANO_OBRA</x:v>
      </x:c>
      <x:c r="E106" s="9" t="str">
        <x:v>OFICIAL ALBAÑIL</x:v>
      </x:c>
      <x:c r="F106" s="37" t="n">
        <x:v>5100</x:v>
      </x:c>
      <x:c r="G106" s="25" t="d">
        <x:v>2026-07-27T00:00:00.000Z</x:v>
      </x:c>
      <x:c r="H106" s="9" t="str">
        <x:v>EFECTIVO</x:v>
      </x:c>
      <x:c r="I106" s="9" t="str">
        <x:v>EFE-LARENAH-27072026.pdf</x:v>
      </x:c>
      <x:c r="J106" s="9" t="str">
        <x:v>OTRO</x:v>
      </x:c>
      <x:c r="K106" s="9" t="str">
        <x:v>EFECTIVO</x:v>
      </x:c>
      <x:c r="L106" s="9" t="str">
        <x:v>MXN</x:v>
      </x:c>
      <x:c r="M106" s="30" t="n">
        <x:v>2</x:v>
      </x:c>
      <x:c r="N106" s="30" t="n">
        <x:v>1876</x:v>
      </x:c>
    </x:row>
    <x:row r="107" ht="42" customHeight="1">
      <x:c r="A107" s="9" t="str">
        <x:v>REV-025</x:v>
      </x:c>
      <x:c r="B107" s="9" t="str">
        <x:v>TORRE_H</x:v>
      </x:c>
      <x:c r="C107" s="9" t="str">
        <x:v>ALBAÑILERÍAS</x:v>
      </x:c>
      <x:c r="D107" s="9" t="str">
        <x:v>MANO_OBRA</x:v>
      </x:c>
      <x:c r="E107" s="9" t="str">
        <x:v>OFICIAL CARPINTERO DE OBRA NEGRA</x:v>
      </x:c>
      <x:c r="F107" s="37" t="n">
        <x:v>7650</x:v>
      </x:c>
      <x:c r="G107" s="25" t="d">
        <x:v>2026-07-27T00:00:00.000Z</x:v>
      </x:c>
      <x:c r="H107" s="9" t="str">
        <x:v>EFECTIVO</x:v>
      </x:c>
      <x:c r="I107" s="9" t="str">
        <x:v>EFE-LARENAH-27072026.pdf</x:v>
      </x:c>
      <x:c r="J107" s="9" t="str">
        <x:v>OTRO</x:v>
      </x:c>
      <x:c r="K107" s="9" t="str">
        <x:v>EFECTIVO</x:v>
      </x:c>
      <x:c r="L107" s="9" t="str">
        <x:v>MXN</x:v>
      </x:c>
      <x:c r="M107" s="30" t="n">
        <x:v>3</x:v>
      </x:c>
      <x:c r="N107" s="30" t="n">
        <x:v>1878</x:v>
      </x:c>
    </x:row>
    <x:row r="108" ht="42" customHeight="1">
      <x:c r="A108" s="9" t="str">
        <x:v>REV-026</x:v>
      </x:c>
      <x:c r="B108" s="9" t="str">
        <x:v>TORRE_H</x:v>
      </x:c>
      <x:c r="C108" s="9" t="str">
        <x:v>MÁRMOL</x:v>
      </x:c>
      <x:c r="D108" s="9" t="str">
        <x:v>COLOCACION PISOS, ESCALERAS Y CUBIERTA DE MUEBLES BAÑO</x:v>
      </x:c>
      <x:c r="E108" s="9" t="str">
        <x:v>HERRAMIENTA MENOR</x:v>
      </x:c>
      <x:c r="F108" s="37" t="n">
        <x:v>6721.408</x:v>
      </x:c>
      <x:c r="G108" s="25" t="d">
        <x:v>2026-08-07T00:00:00.000Z</x:v>
      </x:c>
      <x:c r="H108" s="9" t="str">
        <x:v>ACABADOS CONSTRUCTIVOS DE LA BAJA SA DE CV</x:v>
      </x:c>
      <x:c r="I108" s="9" t="str">
        <x:v>ACB-COL-260807.pdf</x:v>
      </x:c>
      <x:c r="J108" s="9" t="str">
        <x:v>MATERIAL</x:v>
      </x:c>
      <x:c r="K108" s="9" t="str">
        <x:v>TRANSFERENCIA</x:v>
      </x:c>
      <x:c r="L108" s="9" t="str">
        <x:v>MXN</x:v>
      </x:c>
      <x:c r="M108" s="30"/>
      <x:c r="N108" s="30" t="n">
        <x:v>2795</x:v>
      </x:c>
    </x:row>
    <x:row r="109" ht="42" customHeight="1">
      <x:c r="A109" s="9" t="str">
        <x:v>REV-027</x:v>
      </x:c>
      <x:c r="B109" s="9" t="str">
        <x:v>TORRE_H</x:v>
      </x:c>
      <x:c r="C109" s="9" t="str">
        <x:v>MÁRMOL</x:v>
      </x:c>
      <x:c r="D109" s="9" t="str">
        <x:v>COLOCACION CALIZA</x:v>
      </x:c>
      <x:c r="E109" s="9" t="str">
        <x:v>HERRAMIENTA MENOR</x:v>
      </x:c>
      <x:c r="F109" s="37" t="n">
        <x:v>93020.4</x:v>
      </x:c>
      <x:c r="G109" s="25" t="d">
        <x:v>2026-08-07T00:00:00.000Z</x:v>
      </x:c>
      <x:c r="H109" s="9" t="str">
        <x:v>ANDAMIOS Y EQUIPOS AMARILLOS, S.A. DE C.V.</x:v>
      </x:c>
      <x:c r="I109" s="9" t="str">
        <x:v>AEA-COL-260807.pdf</x:v>
      </x:c>
      <x:c r="J109" s="9" t="str">
        <x:v>MATERIAL</x:v>
      </x:c>
      <x:c r="K109" s="9" t="str">
        <x:v>TRANSFERENCIA</x:v>
      </x:c>
      <x:c r="L109" s="9" t="str">
        <x:v>MXN</x:v>
      </x:c>
      <x:c r="M109" s="30"/>
      <x:c r="N109" s="30" t="n">
        <x:v>2715</x:v>
      </x:c>
    </x:row>
    <x:row r="110" ht="42" customHeight="1">
      <x:c r="A110" s="9" t="str">
        <x:v>REV-028</x:v>
      </x:c>
      <x:c r="B110" s="9" t="str">
        <x:v>TORRE_H</x:v>
      </x:c>
      <x:c r="C110" s="9" t="str">
        <x:v>MÁRMOL</x:v>
      </x:c>
      <x:c r="D110" s="9" t="str">
        <x:v>COLOCACION PISOS, ESCALERAS Y CUBIERTA DE MUEBLES BAÑO</x:v>
      </x:c>
      <x:c r="E110" s="9" t="str">
        <x:v>HERRAMIENTA MENOR</x:v>
      </x:c>
      <x:c r="F110" s="37" t="n">
        <x:v>4199.9</x:v>
      </x:c>
      <x:c r="G110" s="25" t="d">
        <x:v>2026-08-07T00:00:00.000Z</x:v>
      </x:c>
      <x:c r="H110" s="9" t="str">
        <x:v>COMERCABOS SA DE CV</x:v>
      </x:c>
      <x:c r="I110" s="9" t="str">
        <x:v>COM-184198.pdf</x:v>
      </x:c>
      <x:c r="J110" s="9" t="str">
        <x:v>MATERIAL</x:v>
      </x:c>
      <x:c r="K110" s="9" t="str">
        <x:v>TRANSFERENCIA</x:v>
      </x:c>
      <x:c r="L110" s="9" t="str">
        <x:v>MXN</x:v>
      </x:c>
      <x:c r="M110" s="30"/>
      <x:c r="N110" s="30" t="n">
        <x:v>2793</x:v>
      </x:c>
    </x:row>
    <x:row r="111" ht="42" customHeight="1">
      <x:c r="A111" s="9" t="str">
        <x:v>REV-029</x:v>
      </x:c>
      <x:c r="B111" s="9" t="str">
        <x:v>TORRE_H</x:v>
      </x:c>
      <x:c r="C111" s="9" t="str">
        <x:v>ALBAÑILERÍAS</x:v>
      </x:c>
      <x:c r="D111" s="9" t="str">
        <x:v>HERRAMIENTA_MENOR</x:v>
      </x:c>
      <x:c r="E111" s="9" t="str">
        <x:v>EQUIPO DE SEGURIDAD  E HIGIENE</x:v>
      </x:c>
      <x:c r="F111" s="37" t="n">
        <x:v>3524.74</x:v>
      </x:c>
      <x:c r="G111" s="25" t="d">
        <x:v>2026-08-07T00:00:00.000Z</x:v>
      </x:c>
      <x:c r="H111" s="9" t="str">
        <x:v>CYNTHIA VANESSA MACIAS JUAREZ</x:v>
      </x:c>
      <x:c r="I111" s="9" t="str">
        <x:v>CVM-COL-260807.pdf</x:v>
      </x:c>
      <x:c r="J111" s="9" t="str">
        <x:v>OTRO</x:v>
      </x:c>
      <x:c r="K111" s="9" t="str">
        <x:v>TRANSFERENCIA</x:v>
      </x:c>
      <x:c r="L111" s="9" t="str">
        <x:v>MXN</x:v>
      </x:c>
      <x:c r="M111" s="30"/>
      <x:c r="N111" s="30" t="n">
        <x:v>1530</x:v>
      </x:c>
    </x:row>
    <x:row r="112" ht="42" customHeight="1">
      <x:c r="A112" s="9" t="str">
        <x:v>REV-029</x:v>
      </x:c>
      <x:c r="B112" s="9" t="str">
        <x:v>TORRE_H</x:v>
      </x:c>
      <x:c r="C112" s="9" t="str">
        <x:v>ALBAÑILERÍAS</x:v>
      </x:c>
      <x:c r="D112" s="9" t="str">
        <x:v>HERRAMIENTA_MENOR</x:v>
      </x:c>
      <x:c r="E112" s="9" t="str">
        <x:v>EQUIPO DE SEGURIDAD  E HIGIENE</x:v>
      </x:c>
      <x:c r="F112" s="37" t="n">
        <x:v>7299.51</x:v>
      </x:c>
      <x:c r="G112" s="25" t="d">
        <x:v>2026-08-07T00:00:00.000Z</x:v>
      </x:c>
      <x:c r="H112" s="9" t="str">
        <x:v>CYNTHIA VANESSA MACIAS JUAREZ</x:v>
      </x:c>
      <x:c r="I112" s="9" t="str">
        <x:v>CVM-COL-260807.pdf</x:v>
      </x:c>
      <x:c r="J112" s="9" t="str">
        <x:v>OTRO</x:v>
      </x:c>
      <x:c r="K112" s="9" t="str">
        <x:v>TRANSFERENCIA</x:v>
      </x:c>
      <x:c r="L112" s="9" t="str">
        <x:v>MXN</x:v>
      </x:c>
      <x:c r="M112" s="30"/>
      <x:c r="N112" s="30" t="n">
        <x:v>1531</x:v>
      </x:c>
    </x:row>
    <x:row r="113" ht="42" customHeight="1">
      <x:c r="A113" s="9" t="str">
        <x:v>REV-030</x:v>
      </x:c>
      <x:c r="B113" s="9" t="str">
        <x:v>TORRE_H</x:v>
      </x:c>
      <x:c r="C113" s="9" t="str">
        <x:v>ALBAÑILERÍAS</x:v>
      </x:c>
      <x:c r="D113" s="9" t="str">
        <x:v>HERRAMIENTA_MENOR</x:v>
      </x:c>
      <x:c r="E113" s="9" t="str">
        <x:v>EQUIPO DE SEGURIDAD  E HIGIENE</x:v>
      </x:c>
      <x:c r="F113" s="37" t="n">
        <x:v>17700.32</x:v>
      </x:c>
      <x:c r="G113" s="25" t="d">
        <x:v>2026-08-07T00:00:00.000Z</x:v>
      </x:c>
      <x:c r="H113" s="9" t="str">
        <x:v>CYNTHIA VANESSA MACIAS JUAREZ</x:v>
      </x:c>
      <x:c r="I113" s="9" t="str">
        <x:v>CVM-HER-260807.pdf</x:v>
      </x:c>
      <x:c r="J113" s="9" t="str">
        <x:v>OTRO</x:v>
      </x:c>
      <x:c r="K113" s="9" t="str">
        <x:v>TRANSFERENCIA</x:v>
      </x:c>
      <x:c r="L113" s="9" t="str">
        <x:v>MXN</x:v>
      </x:c>
      <x:c r="M113" s="30"/>
      <x:c r="N113" s="30" t="n">
        <x:v>1532</x:v>
      </x:c>
    </x:row>
    <x:row r="114" ht="42" customHeight="1">
      <x:c r="A114" s="9" t="str">
        <x:v>REV-031</x:v>
      </x:c>
      <x:c r="B114" s="9" t="str">
        <x:v>TORRE_H</x:v>
      </x:c>
      <x:c r="C114" s="9" t="str">
        <x:v>AIRE_ACONDICIONADO</x:v>
      </x:c>
      <x:c r="D114" s="9" t="str">
        <x:v>INSTALACIÓN Y EQUIPOS VIVIENDAS</x:v>
      </x:c>
      <x:c r="E114" s="9" t="str"/>
      <x:c r="F114" s="37" t="n">
        <x:v>661805.895</x:v>
      </x:c>
      <x:c r="G114" s="25" t="d">
        <x:v>2026-08-07T00:00:00.000Z</x:v>
      </x:c>
      <x:c r="H114" s="9" t="str">
        <x:v>FIGUEROA Y DE BUEN, S.A. DE C.V. </x:v>
      </x:c>
      <x:c r="I114" s="9" t="str">
        <x:v>FBU-INS-260807.pdf</x:v>
      </x:c>
      <x:c r="J114" s="9" t="str">
        <x:v>OTRO</x:v>
      </x:c>
      <x:c r="K114" s="9" t="str">
        <x:v>TRANSFERENCIA</x:v>
      </x:c>
      <x:c r="L114" s="9" t="str">
        <x:v>MXN</x:v>
      </x:c>
      <x:c r="M114" s="30"/>
      <x:c r="N114" s="30" t="n">
        <x:v>1468</x:v>
      </x:c>
    </x:row>
    <x:row r="115" ht="42" customHeight="1">
      <x:c r="A115" s="9" t="str">
        <x:v>REV-032</x:v>
      </x:c>
      <x:c r="B115" s="9" t="str">
        <x:v>TORRE_H</x:v>
      </x:c>
      <x:c r="C115" s="9" t="str">
        <x:v>MÁRMOL</x:v>
      </x:c>
      <x:c r="D115" s="9" t="str">
        <x:v>COLOCACION BAÑOS (LAMBRINES REGADERA Y WC)</x:v>
      </x:c>
      <x:c r="E115" s="9" t="str">
        <x:v>HERRAMIENTA MENOR</x:v>
      </x:c>
      <x:c r="F115" s="37" t="n">
        <x:v>66680.79</x:v>
      </x:c>
      <x:c r="G115" s="25" t="d">
        <x:v>2026-08-07T00:00:00.000Z</x:v>
      </x:c>
      <x:c r="H115" s="9" t="str">
        <x:v>FERRETERÍA Y PLOMERÍA SANTANA, SA DE CV</x:v>
      </x:c>
      <x:c r="I115" s="9" t="str">
        <x:v>FPS-2515.pdf</x:v>
      </x:c>
      <x:c r="J115" s="9" t="str">
        <x:v>MATERIAL</x:v>
      </x:c>
      <x:c r="K115" s="9" t="str">
        <x:v>TRANSFERENCIA</x:v>
      </x:c>
      <x:c r="L115" s="9" t="str">
        <x:v>MXN</x:v>
      </x:c>
      <x:c r="M115" s="30"/>
      <x:c r="N115" s="30" t="n">
        <x:v>2623</x:v>
      </x:c>
    </x:row>
    <x:row r="116" ht="42" customHeight="1">
      <x:c r="A116" s="9" t="str">
        <x:v>REV-033</x:v>
      </x:c>
      <x:c r="B116" s="9" t="str">
        <x:v>TORRE_H</x:v>
      </x:c>
      <x:c r="C116" s="9" t="str">
        <x:v>ALBAÑILERÍAS</x:v>
      </x:c>
      <x:c r="D116" s="9" t="str">
        <x:v>CONCRETOS</x:v>
      </x:c>
      <x:c r="E116" s="9" t="str">
        <x:v>BOMBEO C/BOMBA PLUMA DE 36  MTS.</x:v>
      </x:c>
      <x:c r="F116" s="37" t="n">
        <x:v>3654</x:v>
      </x:c>
      <x:c r="G116" s="25" t="d">
        <x:v>2026-08-07T00:00:00.000Z</x:v>
      </x:c>
      <x:c r="H116" s="9" t="str">
        <x:v>LUXIDA CONCRETOS S DE RL DE CV</x:v>
      </x:c>
      <x:c r="I116" s="9" t="str">
        <x:v>LCO-10288.pdf</x:v>
      </x:c>
      <x:c r="J116" s="9" t="str">
        <x:v>MATERIAL</x:v>
      </x:c>
      <x:c r="K116" s="9" t="str">
        <x:v>TRANSFERENCIA</x:v>
      </x:c>
      <x:c r="L116" s="9" t="str">
        <x:v>MXN</x:v>
      </x:c>
      <x:c r="M116" s="30"/>
      <x:c r="N116" s="30" t="n">
        <x:v>1498</x:v>
      </x:c>
    </x:row>
    <x:row r="117" ht="42" customHeight="1">
      <x:c r="A117" s="9" t="str">
        <x:v>REV-033</x:v>
      </x:c>
      <x:c r="B117" s="9" t="str">
        <x:v>TORRE_H</x:v>
      </x:c>
      <x:c r="C117" s="9" t="str">
        <x:v>ALBAÑILERÍAS</x:v>
      </x:c>
      <x:c r="D117" s="9" t="str">
        <x:v>CONCRETOS</x:v>
      </x:c>
      <x:c r="E117" s="9" t="str">
        <x:v>BOMBEO C/BOMBA PLUMA DE 36  MTS.</x:v>
      </x:c>
      <x:c r="F117" s="37" t="n">
        <x:v>4802.4</x:v>
      </x:c>
      <x:c r="G117" s="25" t="d">
        <x:v>2026-08-07T00:00:00.000Z</x:v>
      </x:c>
      <x:c r="H117" s="9" t="str">
        <x:v>LUXIDA CONCRETOS S DE RL DE CV</x:v>
      </x:c>
      <x:c r="I117" s="9" t="str">
        <x:v>LCO-10288.pdf</x:v>
      </x:c>
      <x:c r="J117" s="9" t="str">
        <x:v>MATERIAL</x:v>
      </x:c>
      <x:c r="K117" s="9" t="str">
        <x:v>TRANSFERENCIA</x:v>
      </x:c>
      <x:c r="L117" s="9" t="str">
        <x:v>MXN</x:v>
      </x:c>
      <x:c r="M117" s="30"/>
      <x:c r="N117" s="30" t="n">
        <x:v>1499</x:v>
      </x:c>
    </x:row>
    <x:row r="118" ht="42" customHeight="1">
      <x:c r="A118" s="9" t="str">
        <x:v>REV-033</x:v>
      </x:c>
      <x:c r="B118" s="9" t="str">
        <x:v>TORRE_H</x:v>
      </x:c>
      <x:c r="C118" s="9" t="str">
        <x:v>ALBAÑILERÍAS</x:v>
      </x:c>
      <x:c r="D118" s="9" t="str">
        <x:v>CONCRETOS</x:v>
      </x:c>
      <x:c r="E118" s="9" t="str">
        <x:v>CONCRETO CLASE 1 FC250</x:v>
      </x:c>
      <x:c r="F118" s="37" t="n">
        <x:v>29655.66</x:v>
      </x:c>
      <x:c r="G118" s="25" t="d">
        <x:v>2026-08-07T00:00:00.000Z</x:v>
      </x:c>
      <x:c r="H118" s="9" t="str">
        <x:v>LUXIDA CONCRETOS S DE RL DE CV</x:v>
      </x:c>
      <x:c r="I118" s="9" t="str">
        <x:v>LCO-10288.pdf</x:v>
      </x:c>
      <x:c r="J118" s="9" t="str">
        <x:v>MATERIAL</x:v>
      </x:c>
      <x:c r="K118" s="9" t="str">
        <x:v>TRANSFERENCIA</x:v>
      </x:c>
      <x:c r="L118" s="9" t="str">
        <x:v>MXN</x:v>
      </x:c>
      <x:c r="M118" s="30"/>
      <x:c r="N118" s="30" t="n">
        <x:v>1500</x:v>
      </x:c>
    </x:row>
    <x:row r="119" ht="42" customHeight="1">
      <x:c r="A119" s="9" t="str">
        <x:v>REV-034</x:v>
      </x:c>
      <x:c r="B119" s="9" t="str">
        <x:v>TORRE_H</x:v>
      </x:c>
      <x:c r="C119" s="9" t="str">
        <x:v>ESTRUCTURAS_COMPLEMENTARIAS</x:v>
      </x:c>
      <x:c r="D119" s="9" t="str">
        <x:v>CEMENTANTES</x:v>
      </x:c>
      <x:c r="E119" s="9" t="str">
        <x:v>CEMENTO GRIS</x:v>
      </x:c>
      <x:c r="F119" s="37" t="n">
        <x:v>23159.86</x:v>
      </x:c>
      <x:c r="G119" s="25" t="d">
        <x:v>2026-08-07T00:00:00.000Z</x:v>
      </x:c>
      <x:c r="H119" s="9" t="str">
        <x:v>LUXIDA CONCRETOS S DE RL DE CV</x:v>
      </x:c>
      <x:c r="I119" s="9" t="str">
        <x:v>LCO-CON-260807.pdf</x:v>
      </x:c>
      <x:c r="J119" s="9" t="str">
        <x:v>MATERIAL</x:v>
      </x:c>
      <x:c r="K119" s="9" t="str">
        <x:v>TRANSFERENCIA</x:v>
      </x:c>
      <x:c r="L119" s="9" t="str">
        <x:v>MXN</x:v>
      </x:c>
      <x:c r="M119" s="30"/>
      <x:c r="N119" s="30" t="n">
        <x:v>2171</x:v>
      </x:c>
    </x:row>
    <x:row r="120" ht="42" customHeight="1">
      <x:c r="A120" s="9" t="str">
        <x:v>REV-035</x:v>
      </x:c>
      <x:c r="B120" s="9" t="str">
        <x:v>TORRE_H</x:v>
      </x:c>
      <x:c r="C120" s="9" t="str">
        <x:v>MÁRMOL</x:v>
      </x:c>
      <x:c r="D120" s="9" t="str">
        <x:v>COLOCACION BAÑOS (LAMBRINES REGADERA Y WC)</x:v>
      </x:c>
      <x:c r="E120" s="9" t="str">
        <x:v>HERRAMIENTA MENOR</x:v>
      </x:c>
      <x:c r="F120" s="37" t="n">
        <x:v>4600</x:v>
      </x:c>
      <x:c r="G120" s="25" t="d">
        <x:v>2026-08-07T00:00:00.000Z</x:v>
      </x:c>
      <x:c r="H120" s="9" t="str">
        <x:v>MONTSERRAT KARIME PAZ CARDENAS</x:v>
      </x:c>
      <x:c r="I120" s="9" t="str">
        <x:v>MKP-COL-260807.pdf</x:v>
      </x:c>
      <x:c r="J120" s="9" t="str">
        <x:v>MATERIAL</x:v>
      </x:c>
      <x:c r="K120" s="9" t="str">
        <x:v>TRANSFERENCIA</x:v>
      </x:c>
      <x:c r="L120" s="9" t="str">
        <x:v>MXN</x:v>
      </x:c>
      <x:c r="M120" s="30"/>
      <x:c r="N120" s="30" t="n">
        <x:v>2615</x:v>
      </x:c>
    </x:row>
    <x:row r="121" ht="42" customHeight="1">
      <x:c r="A121" s="9" t="str">
        <x:v>REV-035</x:v>
      </x:c>
      <x:c r="B121" s="9" t="str">
        <x:v>TORRE_H</x:v>
      </x:c>
      <x:c r="C121" s="9" t="str">
        <x:v>MÁRMOL</x:v>
      </x:c>
      <x:c r="D121" s="9" t="str">
        <x:v>COLOCACION BAÑOS (LAMBRINES REGADERA Y WC)</x:v>
      </x:c>
      <x:c r="E121" s="9" t="str">
        <x:v>HERRAMIENTA MENOR</x:v>
      </x:c>
      <x:c r="F121" s="37" t="n">
        <x:v>10042.5</x:v>
      </x:c>
      <x:c r="G121" s="25" t="d">
        <x:v>2026-08-07T00:00:00.000Z</x:v>
      </x:c>
      <x:c r="H121" s="9" t="str">
        <x:v>MONTSERRAT KARIME PAZ CARDENAS</x:v>
      </x:c>
      <x:c r="I121" s="9" t="str">
        <x:v>MKP-COL-260807.pdf</x:v>
      </x:c>
      <x:c r="J121" s="9" t="str">
        <x:v>MATERIAL</x:v>
      </x:c>
      <x:c r="K121" s="9" t="str">
        <x:v>TRANSFERENCIA</x:v>
      </x:c>
      <x:c r="L121" s="9" t="str">
        <x:v>MXN</x:v>
      </x:c>
      <x:c r="M121" s="30"/>
      <x:c r="N121" s="30" t="n">
        <x:v>2616</x:v>
      </x:c>
    </x:row>
    <x:row r="122" ht="42" customHeight="1">
      <x:c r="A122" s="9" t="str">
        <x:v>REV-035</x:v>
      </x:c>
      <x:c r="B122" s="9" t="str">
        <x:v>TORRE_H</x:v>
      </x:c>
      <x:c r="C122" s="9" t="str">
        <x:v>MÁRMOL</x:v>
      </x:c>
      <x:c r="D122" s="9" t="str">
        <x:v>COLOCACION PISOS, ESCALERAS Y CUBIERTA DE MUEBLES BAÑO</x:v>
      </x:c>
      <x:c r="E122" s="9" t="str">
        <x:v>HERRAMIENTA MENOR</x:v>
      </x:c>
      <x:c r="F122" s="37" t="n">
        <x:v>3776</x:v>
      </x:c>
      <x:c r="G122" s="25" t="d">
        <x:v>2026-08-07T00:00:00.000Z</x:v>
      </x:c>
      <x:c r="H122" s="9" t="str">
        <x:v>MONTSERRAT KARIME PAZ CARDENAS</x:v>
      </x:c>
      <x:c r="I122" s="9" t="str">
        <x:v>MKP-COL-260807.pdf</x:v>
      </x:c>
      <x:c r="J122" s="9" t="str">
        <x:v>MATERIAL</x:v>
      </x:c>
      <x:c r="K122" s="9" t="str">
        <x:v>TRANSFERENCIA</x:v>
      </x:c>
      <x:c r="L122" s="9" t="str">
        <x:v>MXN</x:v>
      </x:c>
      <x:c r="M122" s="30"/>
      <x:c r="N122" s="30" t="n">
        <x:v>2791</x:v>
      </x:c>
    </x:row>
    <x:row r="123" ht="42" customHeight="1">
      <x:c r="A123" s="9" t="str">
        <x:v>REV-035</x:v>
      </x:c>
      <x:c r="B123" s="9" t="str">
        <x:v>TORRE_H</x:v>
      </x:c>
      <x:c r="C123" s="9" t="str">
        <x:v>MÁRMOL</x:v>
      </x:c>
      <x:c r="D123" s="9" t="str">
        <x:v>COLOCACION PISOS, ESCALERAS Y CUBIERTA DE MUEBLES BAÑO</x:v>
      </x:c>
      <x:c r="E123" s="9" t="str">
        <x:v>HERRAMIENTA MENOR</x:v>
      </x:c>
      <x:c r="F123" s="37" t="n">
        <x:v>3988</x:v>
      </x:c>
      <x:c r="G123" s="25" t="d">
        <x:v>2026-08-07T00:00:00.000Z</x:v>
      </x:c>
      <x:c r="H123" s="9" t="str">
        <x:v>MONTSERRAT KARIME PAZ CARDENAS</x:v>
      </x:c>
      <x:c r="I123" s="9" t="str">
        <x:v>MKP-COL-260807.pdf</x:v>
      </x:c>
      <x:c r="J123" s="9" t="str">
        <x:v>MATERIAL</x:v>
      </x:c>
      <x:c r="K123" s="9" t="str">
        <x:v>TRANSFERENCIA</x:v>
      </x:c>
      <x:c r="L123" s="9" t="str">
        <x:v>MXN</x:v>
      </x:c>
      <x:c r="M123" s="30"/>
      <x:c r="N123" s="30" t="n">
        <x:v>2792</x:v>
      </x:c>
    </x:row>
    <x:row r="124" ht="42" customHeight="1">
      <x:c r="A124" s="9" t="str">
        <x:v>REV-035</x:v>
      </x:c>
      <x:c r="B124" s="9" t="str">
        <x:v>TORRE_H</x:v>
      </x:c>
      <x:c r="C124" s="9" t="str">
        <x:v>MÁRMOL</x:v>
      </x:c>
      <x:c r="D124" s="9" t="str">
        <x:v>COLOCACION PISOS, ESCALERAS Y CUBIERTA DE MUEBLES BAÑO</x:v>
      </x:c>
      <x:c r="E124" s="9" t="str">
        <x:v>HERRAMIENTA MENOR</x:v>
      </x:c>
      <x:c r="F124" s="37" t="n">
        <x:v>4762.5</x:v>
      </x:c>
      <x:c r="G124" s="25" t="d">
        <x:v>2026-08-07T00:00:00.000Z</x:v>
      </x:c>
      <x:c r="H124" s="9" t="str">
        <x:v>MONTSERRAT KARIME PAZ CARDENAS</x:v>
      </x:c>
      <x:c r="I124" s="9" t="str">
        <x:v>MKP-COL-260807.pdf</x:v>
      </x:c>
      <x:c r="J124" s="9" t="str">
        <x:v>MATERIAL</x:v>
      </x:c>
      <x:c r="K124" s="9" t="str">
        <x:v>TRANSFERENCIA</x:v>
      </x:c>
      <x:c r="L124" s="9" t="str">
        <x:v>MXN</x:v>
      </x:c>
      <x:c r="M124" s="30"/>
      <x:c r="N124" s="30" t="n">
        <x:v>2794</x:v>
      </x:c>
    </x:row>
    <x:row r="125" ht="42" customHeight="1">
      <x:c r="A125" s="9" t="str">
        <x:v>REV-035</x:v>
      </x:c>
      <x:c r="B125" s="9" t="str">
        <x:v>TORRE_H</x:v>
      </x:c>
      <x:c r="C125" s="9" t="str">
        <x:v>MÁRMOL</x:v>
      </x:c>
      <x:c r="D125" s="9" t="str">
        <x:v>COLOCACION PISOS, ESCALERAS Y CUBIERTA DE MUEBLES BAÑO</x:v>
      </x:c>
      <x:c r="E125" s="9" t="str">
        <x:v>HERRAMIENTA MENOR</x:v>
      </x:c>
      <x:c r="F125" s="37" t="n">
        <x:v>10012</x:v>
      </x:c>
      <x:c r="G125" s="25" t="d">
        <x:v>2026-08-07T00:00:00.000Z</x:v>
      </x:c>
      <x:c r="H125" s="9" t="str">
        <x:v>MONTSERRAT KARIME PAZ CARDENAS</x:v>
      </x:c>
      <x:c r="I125" s="9" t="str">
        <x:v>MKP-COL-260807.pdf</x:v>
      </x:c>
      <x:c r="J125" s="9" t="str">
        <x:v>MATERIAL</x:v>
      </x:c>
      <x:c r="K125" s="9" t="str">
        <x:v>TRANSFERENCIA</x:v>
      </x:c>
      <x:c r="L125" s="9" t="str">
        <x:v>MXN</x:v>
      </x:c>
      <x:c r="M125" s="30"/>
      <x:c r="N125" s="30" t="n">
        <x:v>2797</x:v>
      </x:c>
    </x:row>
    <x:row r="126" ht="42" customHeight="1">
      <x:c r="A126" s="9" t="str">
        <x:v>REV-036</x:v>
      </x:c>
      <x:c r="B126" s="9" t="str">
        <x:v>TORRE_H</x:v>
      </x:c>
      <x:c r="C126" s="9" t="str">
        <x:v>MÁRMOL</x:v>
      </x:c>
      <x:c r="D126" s="9" t="str">
        <x:v>COLOCACION BAÑOS (LAMBRINES REGADERA Y WC)</x:v>
      </x:c>
      <x:c r="E126" s="9" t="str">
        <x:v>HERRAMIENTA MENOR</x:v>
      </x:c>
      <x:c r="F126" s="37" t="n">
        <x:v>32190</x:v>
      </x:c>
      <x:c r="G126" s="25" t="d">
        <x:v>2026-08-07T00:00:00.000Z</x:v>
      </x:c>
      <x:c r="H126" s="9" t="str">
        <x:v>LUIS MANUEL NAVARRO GONZALEZ (HERMANOS NAVARRO FERRETERIA)</x:v>
      </x:c>
      <x:c r="I126" s="9" t="str">
        <x:v>NAGE-2469.pdf</x:v>
      </x:c>
      <x:c r="J126" s="9" t="str">
        <x:v>MATERIAL</x:v>
      </x:c>
      <x:c r="K126" s="9" t="str">
        <x:v>TRANSFERENCIA</x:v>
      </x:c>
      <x:c r="L126" s="9" t="str">
        <x:v>MXN</x:v>
      </x:c>
      <x:c r="M126" s="30"/>
      <x:c r="N126" s="30" t="n">
        <x:v>2621</x:v>
      </x:c>
    </x:row>
    <x:row r="127" ht="42" customHeight="1">
      <x:c r="A127" s="9" t="str">
        <x:v>REV-036</x:v>
      </x:c>
      <x:c r="B127" s="9" t="str">
        <x:v>TORRE_H</x:v>
      </x:c>
      <x:c r="C127" s="9" t="str">
        <x:v>MÁRMOL</x:v>
      </x:c>
      <x:c r="D127" s="9" t="str">
        <x:v>COLOCACION BAÑOS (LAMBRINES REGADERA Y WC)</x:v>
      </x:c>
      <x:c r="E127" s="9" t="str">
        <x:v>HERRAMIENTA MENOR</x:v>
      </x:c>
      <x:c r="F127" s="37" t="n">
        <x:v>41064</x:v>
      </x:c>
      <x:c r="G127" s="25" t="d">
        <x:v>2026-08-07T00:00:00.000Z</x:v>
      </x:c>
      <x:c r="H127" s="9" t="str">
        <x:v>LUIS MANUEL NAVARRO GONZALEZ (HERMANOS NAVARRO FERRETERIA)</x:v>
      </x:c>
      <x:c r="I127" s="9" t="str">
        <x:v>NAGE-2469.pdf</x:v>
      </x:c>
      <x:c r="J127" s="9" t="str">
        <x:v>MATERIAL</x:v>
      </x:c>
      <x:c r="K127" s="9" t="str">
        <x:v>TRANSFERENCIA</x:v>
      </x:c>
      <x:c r="L127" s="9" t="str">
        <x:v>MXN</x:v>
      </x:c>
      <x:c r="M127" s="30"/>
      <x:c r="N127" s="30" t="n">
        <x:v>2622</x:v>
      </x:c>
    </x:row>
    <x:row r="128" ht="42" customHeight="1">
      <x:c r="A128" s="9" t="str">
        <x:v>REV-037</x:v>
      </x:c>
      <x:c r="B128" s="9" t="str">
        <x:v>TORRE_H</x:v>
      </x:c>
      <x:c r="C128" s="9" t="str">
        <x:v>MÁRMOL</x:v>
      </x:c>
      <x:c r="D128" s="9" t="str">
        <x:v>COLOCACION BAÑOS (LAMBRINES REGADERA Y WC)</x:v>
      </x:c>
      <x:c r="E128" s="9" t="str">
        <x:v>HERRAMIENTA MENOR</x:v>
      </x:c>
      <x:c r="F128" s="37" t="n">
        <x:v>21460</x:v>
      </x:c>
      <x:c r="G128" s="25" t="d">
        <x:v>2026-08-07T00:00:00.000Z</x:v>
      </x:c>
      <x:c r="H128" s="9" t="str">
        <x:v>LUIS MANUEL NAVARRO GONZALEZ (HERMANOS NAVARRO FERRETERIA)</x:v>
      </x:c>
      <x:c r="I128" s="9" t="str">
        <x:v>NAGE-2470.pdf</x:v>
      </x:c>
      <x:c r="J128" s="9" t="str">
        <x:v>MATERIAL</x:v>
      </x:c>
      <x:c r="K128" s="9" t="str">
        <x:v>TRANSFERENCIA</x:v>
      </x:c>
      <x:c r="L128" s="9" t="str">
        <x:v>MXN</x:v>
      </x:c>
      <x:c r="M128" s="30"/>
      <x:c r="N128" s="30" t="n">
        <x:v>2619</x:v>
      </x:c>
    </x:row>
    <x:row r="129" ht="42" customHeight="1">
      <x:c r="A129" s="9" t="str">
        <x:v>REV-038</x:v>
      </x:c>
      <x:c r="B129" s="9" t="str">
        <x:v>TORRE_H</x:v>
      </x:c>
      <x:c r="C129" s="9" t="str">
        <x:v>MÁRMOL</x:v>
      </x:c>
      <x:c r="D129" s="9" t="str">
        <x:v>COLOCACION BAÑOS (LAMBRINES REGADERA Y WC)</x:v>
      </x:c>
      <x:c r="E129" s="9" t="str">
        <x:v>HERRAMIENTA MENOR</x:v>
      </x:c>
      <x:c r="F129" s="37" t="n">
        <x:v>27376</x:v>
      </x:c>
      <x:c r="G129" s="25" t="d">
        <x:v>2026-08-07T00:00:00.000Z</x:v>
      </x:c>
      <x:c r="H129" s="9" t="str">
        <x:v>LUIS MANUEL NAVARRO GONZALEZ (HERMANOS NAVARRO FERRETERIA)</x:v>
      </x:c>
      <x:c r="I129" s="9" t="str">
        <x:v>NAGE-2471.pdf</x:v>
      </x:c>
      <x:c r="J129" s="9" t="str">
        <x:v>MATERIAL</x:v>
      </x:c>
      <x:c r="K129" s="9" t="str">
        <x:v>TRANSFERENCIA</x:v>
      </x:c>
      <x:c r="L129" s="9" t="str">
        <x:v>MXN</x:v>
      </x:c>
      <x:c r="M129" s="30"/>
      <x:c r="N129" s="30" t="n">
        <x:v>2620</x:v>
      </x:c>
    </x:row>
    <x:row r="130" ht="42" customHeight="1">
      <x:c r="A130" s="9" t="str">
        <x:v>REV-039</x:v>
      </x:c>
      <x:c r="B130" s="9" t="str">
        <x:v>TORRE_H</x:v>
      </x:c>
      <x:c r="C130" s="9" t="str">
        <x:v>MÁRMOL</x:v>
      </x:c>
      <x:c r="D130" s="9" t="str">
        <x:v>COLOCACION PISOS, ESCALERAS Y CUBIERTA DE MUEBLES BAÑO</x:v>
      </x:c>
      <x:c r="E130" s="9" t="str">
        <x:v>HERRAMIENTA MENOR</x:v>
      </x:c>
      <x:c r="F130" s="37" t="n">
        <x:v>8816</x:v>
      </x:c>
      <x:c r="G130" s="25" t="d">
        <x:v>2026-08-07T00:00:00.000Z</x:v>
      </x:c>
      <x:c r="H130" s="9" t="str">
        <x:v>LUIS MANUEL NAVARRO GONZALEZ (HERMANOS NAVARRO FERRETERIA)</x:v>
      </x:c>
      <x:c r="I130" s="9" t="str">
        <x:v>NAGE-2563.pdf</x:v>
      </x:c>
      <x:c r="J130" s="9" t="str">
        <x:v>MATERIAL</x:v>
      </x:c>
      <x:c r="K130" s="9" t="str">
        <x:v>TRANSFERENCIA</x:v>
      </x:c>
      <x:c r="L130" s="9" t="str">
        <x:v>MXN</x:v>
      </x:c>
      <x:c r="M130" s="30"/>
      <x:c r="N130" s="30" t="n">
        <x:v>2796</x:v>
      </x:c>
    </x:row>
    <x:row r="131" ht="42" customHeight="1">
      <x:c r="A131" s="9" t="str">
        <x:v>REV-039</x:v>
      </x:c>
      <x:c r="B131" s="9" t="str">
        <x:v>TORRE_H</x:v>
      </x:c>
      <x:c r="C131" s="9" t="str">
        <x:v>MÁRMOL</x:v>
      </x:c>
      <x:c r="D131" s="9" t="str">
        <x:v>COLOCACION PISOS, ESCALERAS Y CUBIERTA DE MUEBLES BAÑO</x:v>
      </x:c>
      <x:c r="E131" s="9" t="str">
        <x:v>HERRAMIENTA MENOR</x:v>
      </x:c>
      <x:c r="F131" s="37" t="n">
        <x:v>21460</x:v>
      </x:c>
      <x:c r="G131" s="25" t="d">
        <x:v>2026-08-07T00:00:00.000Z</x:v>
      </x:c>
      <x:c r="H131" s="9" t="str">
        <x:v>LUIS MANUEL NAVARRO GONZALEZ (HERMANOS NAVARRO FERRETERIA)</x:v>
      </x:c>
      <x:c r="I131" s="9" t="str">
        <x:v>NAGE-2563.pdf</x:v>
      </x:c>
      <x:c r="J131" s="9" t="str">
        <x:v>MATERIAL</x:v>
      </x:c>
      <x:c r="K131" s="9" t="str">
        <x:v>TRANSFERENCIA</x:v>
      </x:c>
      <x:c r="L131" s="9" t="str">
        <x:v>MXN</x:v>
      </x:c>
      <x:c r="M131" s="30"/>
      <x:c r="N131" s="30" t="n">
        <x:v>2798</x:v>
      </x:c>
    </x:row>
    <x:row r="132" ht="42" customHeight="1">
      <x:c r="A132" s="9" t="str">
        <x:v>REV-040</x:v>
      </x:c>
      <x:c r="B132" s="9" t="str">
        <x:v>TORRE_H</x:v>
      </x:c>
      <x:c r="C132" s="9" t="str">
        <x:v>MÁRMOL</x:v>
      </x:c>
      <x:c r="D132" s="9" t="str">
        <x:v>COLOCACION BAÑOS (LAMBRINES REGADERA Y WC)</x:v>
      </x:c>
      <x:c r="E132" s="9" t="str">
        <x:v>HERRAMIENTA MENOR</x:v>
      </x:c>
      <x:c r="F132" s="37" t="n">
        <x:v>21156</x:v>
      </x:c>
      <x:c r="G132" s="25" t="d">
        <x:v>2026-08-07T00:00:00.000Z</x:v>
      </x:c>
      <x:c r="H132" s="9" t="str">
        <x:v>LUIS MANUEL NAVARRO GONZALEZ (HERMANOS NAVARRO FERRETERIA)</x:v>
      </x:c>
      <x:c r="I132" s="9" t="str">
        <x:v>NAGE-2566.pdf</x:v>
      </x:c>
      <x:c r="J132" s="9" t="str">
        <x:v>MATERIAL</x:v>
      </x:c>
      <x:c r="K132" s="9" t="str">
        <x:v>TRANSFERENCIA</x:v>
      </x:c>
      <x:c r="L132" s="9" t="str">
        <x:v>MXN</x:v>
      </x:c>
      <x:c r="M132" s="30"/>
      <x:c r="N132" s="30" t="n">
        <x:v>2617</x:v>
      </x:c>
    </x:row>
    <x:row r="133" ht="42" customHeight="1">
      <x:c r="A133" s="9" t="str">
        <x:v>REV-041</x:v>
      </x:c>
      <x:c r="B133" s="9" t="str">
        <x:v>TORRE_H</x:v>
      </x:c>
      <x:c r="C133" s="9" t="str">
        <x:v>MÁRMOL</x:v>
      </x:c>
      <x:c r="D133" s="9" t="str">
        <x:v>COLOCACION PISOS, ESCALERAS Y CUBIERTA DE MUEBLES BAÑO</x:v>
      </x:c>
      <x:c r="E133" s="9" t="str">
        <x:v>HERRAMIENTA MENOR</x:v>
      </x:c>
      <x:c r="F133" s="37" t="n">
        <x:v>27376</x:v>
      </x:c>
      <x:c r="G133" s="25" t="d">
        <x:v>2026-08-07T00:00:00.000Z</x:v>
      </x:c>
      <x:c r="H133" s="9" t="str">
        <x:v>LUIS MANUEL NAVARRO GONZALEZ (HERMANOS NAVARRO FERRETERIA)</x:v>
      </x:c>
      <x:c r="I133" s="9" t="str">
        <x:v>NAGE-2567.pdf</x:v>
      </x:c>
      <x:c r="J133" s="9" t="str">
        <x:v>MATERIAL</x:v>
      </x:c>
      <x:c r="K133" s="9" t="str">
        <x:v>TRANSFERENCIA</x:v>
      </x:c>
      <x:c r="L133" s="9" t="str">
        <x:v>MXN</x:v>
      </x:c>
      <x:c r="M133" s="30"/>
      <x:c r="N133" s="30" t="n">
        <x:v>2799</x:v>
      </x:c>
    </x:row>
    <x:row r="134" ht="42" customHeight="1">
      <x:c r="A134" s="9" t="str">
        <x:v>REV-042</x:v>
      </x:c>
      <x:c r="B134" s="9" t="str">
        <x:v>TORRE_H</x:v>
      </x:c>
      <x:c r="C134" s="9" t="str">
        <x:v>MÁRMOL</x:v>
      </x:c>
      <x:c r="D134" s="9" t="str">
        <x:v>COLOCACION BAÑOS (LAMBRINES REGADERA Y WC)</x:v>
      </x:c>
      <x:c r="E134" s="9" t="str">
        <x:v>HERRAMIENTA MENOR</x:v>
      </x:c>
      <x:c r="F134" s="37" t="n">
        <x:v>21460</x:v>
      </x:c>
      <x:c r="G134" s="25" t="d">
        <x:v>2026-08-07T00:00:00.000Z</x:v>
      </x:c>
      <x:c r="H134" s="9" t="str">
        <x:v>LUIS MANUEL NAVARRO GONZALEZ (HERMANOS NAVARRO FERRETERIA)</x:v>
      </x:c>
      <x:c r="I134" s="9" t="str">
        <x:v>NAGE-2569.pdf</x:v>
      </x:c>
      <x:c r="J134" s="9" t="str">
        <x:v>MATERIAL</x:v>
      </x:c>
      <x:c r="K134" s="9" t="str">
        <x:v>TRANSFERENCIA</x:v>
      </x:c>
      <x:c r="L134" s="9" t="str">
        <x:v>MXN</x:v>
      </x:c>
      <x:c r="M134" s="30"/>
      <x:c r="N134" s="30" t="n">
        <x:v>2618</x:v>
      </x:c>
    </x:row>
    <x:row r="135" ht="42" customHeight="1">
      <x:c r="A135" s="9" t="str">
        <x:v>REV-043</x:v>
      </x:c>
      <x:c r="B135" s="9" t="str">
        <x:v>TORRE_H</x:v>
      </x:c>
      <x:c r="C135" s="9" t="str">
        <x:v>LUMINARIAS</x:v>
      </x:c>
      <x:c r="D135" s="9" t="str">
        <x:v>ACCESORIOS ELÉCTRICOS</x:v>
      </x:c>
      <x:c r="E135" s="9" t="str"/>
      <x:c r="F135" s="37" t="n">
        <x:v>25500</x:v>
      </x:c>
      <x:c r="G135" s="25" t="d">
        <x:v>2026-08-07T00:00:00.000Z</x:v>
      </x:c>
      <x:c r="H135" s="9" t="str">
        <x:v>OSCAR TAMAYO</x:v>
      </x:c>
      <x:c r="I135" s="9" t="str">
        <x:v>OTA-ACC-260807.pdf</x:v>
      </x:c>
      <x:c r="J135" s="9" t="str">
        <x:v>OTRO</x:v>
      </x:c>
      <x:c r="K135" s="9" t="str">
        <x:v>TRANSFERENCIA</x:v>
      </x:c>
      <x:c r="L135" s="9" t="str">
        <x:v>MXN</x:v>
      </x:c>
      <x:c r="M135" s="30"/>
      <x:c r="N135" s="30" t="n">
        <x:v>2538</x:v>
      </x:c>
    </x:row>
    <x:row r="136" ht="42" customHeight="1">
      <x:c r="A136" s="9" t="str">
        <x:v>REV-044</x:v>
      </x:c>
      <x:c r="B136" s="9" t="str">
        <x:v>TORRE_H</x:v>
      </x:c>
      <x:c r="C136" s="9" t="str">
        <x:v>MÁRMOL</x:v>
      </x:c>
      <x:c r="D136" s="9" t="str">
        <x:v>COLOCACION BAÑOS (LAMBRINES REGADERA Y WC)</x:v>
      </x:c>
      <x:c r="E136" s="9" t="str">
        <x:v>HERRAMIENTA MENOR</x:v>
      </x:c>
      <x:c r="F136" s="37" t="n">
        <x:v>195</x:v>
      </x:c>
      <x:c r="G136" s="25" t="d">
        <x:v>2026-08-07T00:00:00.000Z</x:v>
      </x:c>
      <x:c r="H136" s="9" t="str">
        <x:v>MONTSERRAT KARIME PAZ CARDENAS</x:v>
      </x:c>
      <x:c r="I136" s="9" t="str">
        <x:v>PACM-15606.pdf</x:v>
      </x:c>
      <x:c r="J136" s="9" t="str">
        <x:v>MATERIAL</x:v>
      </x:c>
      <x:c r="K136" s="9" t="str">
        <x:v>TRANSFERENCIA</x:v>
      </x:c>
      <x:c r="L136" s="9" t="str">
        <x:v>MXN</x:v>
      </x:c>
      <x:c r="M136" s="30"/>
      <x:c r="N136" s="30" t="n">
        <x:v>2608</x:v>
      </x:c>
    </x:row>
    <x:row r="137" ht="42" customHeight="1">
      <x:c r="A137" s="9" t="str">
        <x:v>REV-044</x:v>
      </x:c>
      <x:c r="B137" s="9" t="str">
        <x:v>TORRE_H</x:v>
      </x:c>
      <x:c r="C137" s="9" t="str">
        <x:v>MÁRMOL</x:v>
      </x:c>
      <x:c r="D137" s="9" t="str">
        <x:v>COLOCACION BAÑOS (LAMBRINES REGADERA Y WC)</x:v>
      </x:c>
      <x:c r="E137" s="9" t="str">
        <x:v>HERRAMIENTA MENOR</x:v>
      </x:c>
      <x:c r="F137" s="37" t="n">
        <x:v>1002</x:v>
      </x:c>
      <x:c r="G137" s="25" t="d">
        <x:v>2026-08-07T00:00:00.000Z</x:v>
      </x:c>
      <x:c r="H137" s="9" t="str">
        <x:v>MONTSERRAT KARIME PAZ CARDENAS</x:v>
      </x:c>
      <x:c r="I137" s="9" t="str">
        <x:v>PACM-15606.pdf</x:v>
      </x:c>
      <x:c r="J137" s="9" t="str">
        <x:v>MATERIAL</x:v>
      </x:c>
      <x:c r="K137" s="9" t="str">
        <x:v>TRANSFERENCIA</x:v>
      </x:c>
      <x:c r="L137" s="9" t="str">
        <x:v>MXN</x:v>
      </x:c>
      <x:c r="M137" s="30"/>
      <x:c r="N137" s="30" t="n">
        <x:v>2610</x:v>
      </x:c>
    </x:row>
    <x:row r="138" ht="42" customHeight="1">
      <x:c r="A138" s="9" t="str">
        <x:v>REV-044</x:v>
      </x:c>
      <x:c r="B138" s="9" t="str">
        <x:v>TORRE_H</x:v>
      </x:c>
      <x:c r="C138" s="9" t="str">
        <x:v>MÁRMOL</x:v>
      </x:c>
      <x:c r="D138" s="9" t="str">
        <x:v>COLOCACION BAÑOS (LAMBRINES REGADERA Y WC)</x:v>
      </x:c>
      <x:c r="E138" s="9" t="str">
        <x:v>HERRAMIENTA MENOR</x:v>
      </x:c>
      <x:c r="F138" s="37" t="n">
        <x:v>1100</x:v>
      </x:c>
      <x:c r="G138" s="25" t="d">
        <x:v>2026-08-07T00:00:00.000Z</x:v>
      </x:c>
      <x:c r="H138" s="9" t="str">
        <x:v>MONTSERRAT KARIME PAZ CARDENAS</x:v>
      </x:c>
      <x:c r="I138" s="9" t="str">
        <x:v>PACM-15606.pdf</x:v>
      </x:c>
      <x:c r="J138" s="9" t="str">
        <x:v>MATERIAL</x:v>
      </x:c>
      <x:c r="K138" s="9" t="str">
        <x:v>TRANSFERENCIA</x:v>
      </x:c>
      <x:c r="L138" s="9" t="str">
        <x:v>MXN</x:v>
      </x:c>
      <x:c r="M138" s="30"/>
      <x:c r="N138" s="30" t="n">
        <x:v>2612</x:v>
      </x:c>
    </x:row>
    <x:row r="139" ht="42" customHeight="1">
      <x:c r="A139" s="9" t="str">
        <x:v>REV-045</x:v>
      </x:c>
      <x:c r="B139" s="9" t="str">
        <x:v>TORRE_H</x:v>
      </x:c>
      <x:c r="C139" s="9" t="str">
        <x:v>MÁRMOL</x:v>
      </x:c>
      <x:c r="D139" s="9" t="str">
        <x:v>COLOCACION BAÑOS (LAMBRINES REGADERA Y WC)</x:v>
      </x:c>
      <x:c r="E139" s="9" t="str">
        <x:v>HERRAMIENTA MENOR</x:v>
      </x:c>
      <x:c r="F139" s="37" t="n">
        <x:v>91</x:v>
      </x:c>
      <x:c r="G139" s="25" t="d">
        <x:v>2026-08-07T00:00:00.000Z</x:v>
      </x:c>
      <x:c r="H139" s="9" t="str">
        <x:v>MONTSERRAT KARIME PAZ CARDENAS</x:v>
      </x:c>
      <x:c r="I139" s="9" t="str">
        <x:v>PACM-15607.pdf</x:v>
      </x:c>
      <x:c r="J139" s="9" t="str">
        <x:v>MATERIAL</x:v>
      </x:c>
      <x:c r="K139" s="9" t="str">
        <x:v>TRANSFERENCIA</x:v>
      </x:c>
      <x:c r="L139" s="9" t="str">
        <x:v>MXN</x:v>
      </x:c>
      <x:c r="M139" s="30"/>
      <x:c r="N139" s="30" t="n">
        <x:v>2607</x:v>
      </x:c>
    </x:row>
    <x:row r="140" ht="42" customHeight="1">
      <x:c r="A140" s="9" t="str">
        <x:v>REV-045</x:v>
      </x:c>
      <x:c r="B140" s="9" t="str">
        <x:v>TORRE_H</x:v>
      </x:c>
      <x:c r="C140" s="9" t="str">
        <x:v>MÁRMOL</x:v>
      </x:c>
      <x:c r="D140" s="9" t="str">
        <x:v>COLOCACION BAÑOS (LAMBRINES REGADERA Y WC)</x:v>
      </x:c>
      <x:c r="E140" s="9" t="str">
        <x:v>HERRAMIENTA MENOR</x:v>
      </x:c>
      <x:c r="F140" s="37" t="n">
        <x:v>334</x:v>
      </x:c>
      <x:c r="G140" s="25" t="d">
        <x:v>2026-08-07T00:00:00.000Z</x:v>
      </x:c>
      <x:c r="H140" s="9" t="str">
        <x:v>MONTSERRAT KARIME PAZ CARDENAS</x:v>
      </x:c>
      <x:c r="I140" s="9" t="str">
        <x:v>PACM-15607.pdf</x:v>
      </x:c>
      <x:c r="J140" s="9" t="str">
        <x:v>MATERIAL</x:v>
      </x:c>
      <x:c r="K140" s="9" t="str">
        <x:v>TRANSFERENCIA</x:v>
      </x:c>
      <x:c r="L140" s="9" t="str">
        <x:v>MXN</x:v>
      </x:c>
      <x:c r="M140" s="30"/>
      <x:c r="N140" s="30" t="n">
        <x:v>2609</x:v>
      </x:c>
    </x:row>
    <x:row r="141" ht="42" customHeight="1">
      <x:c r="A141" s="9" t="str">
        <x:v>REV-045</x:v>
      </x:c>
      <x:c r="B141" s="9" t="str">
        <x:v>TORRE_H</x:v>
      </x:c>
      <x:c r="C141" s="9" t="str">
        <x:v>MÁRMOL</x:v>
      </x:c>
      <x:c r="D141" s="9" t="str">
        <x:v>COLOCACION BAÑOS (LAMBRINES REGADERA Y WC)</x:v>
      </x:c>
      <x:c r="E141" s="9" t="str">
        <x:v>HERRAMIENTA MENOR</x:v>
      </x:c>
      <x:c r="F141" s="37" t="n">
        <x:v>1100</x:v>
      </x:c>
      <x:c r="G141" s="25" t="d">
        <x:v>2026-08-07T00:00:00.000Z</x:v>
      </x:c>
      <x:c r="H141" s="9" t="str">
        <x:v>MONTSERRAT KARIME PAZ CARDENAS</x:v>
      </x:c>
      <x:c r="I141" s="9" t="str">
        <x:v>PACM-15607.pdf</x:v>
      </x:c>
      <x:c r="J141" s="9" t="str">
        <x:v>MATERIAL</x:v>
      </x:c>
      <x:c r="K141" s="9" t="str">
        <x:v>TRANSFERENCIA</x:v>
      </x:c>
      <x:c r="L141" s="9" t="str">
        <x:v>MXN</x:v>
      </x:c>
      <x:c r="M141" s="30"/>
      <x:c r="N141" s="30" t="n">
        <x:v>2611</x:v>
      </x:c>
    </x:row>
    <x:row r="142" ht="42" customHeight="1">
      <x:c r="A142" s="9" t="str">
        <x:v>REV-045</x:v>
      </x:c>
      <x:c r="B142" s="9" t="str">
        <x:v>TORRE_H</x:v>
      </x:c>
      <x:c r="C142" s="9" t="str">
        <x:v>MÁRMOL</x:v>
      </x:c>
      <x:c r="D142" s="9" t="str">
        <x:v>COLOCACION BAÑOS (LAMBRINES REGADERA Y WC)</x:v>
      </x:c>
      <x:c r="E142" s="9" t="str">
        <x:v>HERRAMIENTA MENOR</x:v>
      </x:c>
      <x:c r="F142" s="37" t="n">
        <x:v>1215</x:v>
      </x:c>
      <x:c r="G142" s="25" t="d">
        <x:v>2026-08-07T00:00:00.000Z</x:v>
      </x:c>
      <x:c r="H142" s="9" t="str">
        <x:v>MONTSERRAT KARIME PAZ CARDENAS</x:v>
      </x:c>
      <x:c r="I142" s="9" t="str">
        <x:v>PACM-15607.pdf</x:v>
      </x:c>
      <x:c r="J142" s="9" t="str">
        <x:v>MATERIAL</x:v>
      </x:c>
      <x:c r="K142" s="9" t="str">
        <x:v>TRANSFERENCIA</x:v>
      </x:c>
      <x:c r="L142" s="9" t="str">
        <x:v>MXN</x:v>
      </x:c>
      <x:c r="M142" s="30"/>
      <x:c r="N142" s="30" t="n">
        <x:v>2613</x:v>
      </x:c>
    </x:row>
    <x:row r="143" ht="42" customHeight="1">
      <x:c r="A143" s="9" t="str">
        <x:v>REV-045</x:v>
      </x:c>
      <x:c r="B143" s="9" t="str">
        <x:v>TORRE_H</x:v>
      </x:c>
      <x:c r="C143" s="9" t="str">
        <x:v>MÁRMOL</x:v>
      </x:c>
      <x:c r="D143" s="9" t="str">
        <x:v>COLOCACION BAÑOS (LAMBRINES REGADERA Y WC)</x:v>
      </x:c>
      <x:c r="E143" s="9" t="str">
        <x:v>HERRAMIENTA MENOR</x:v>
      </x:c>
      <x:c r="F143" s="37" t="n">
        <x:v>1487.5</x:v>
      </x:c>
      <x:c r="G143" s="25" t="d">
        <x:v>2026-08-07T00:00:00.000Z</x:v>
      </x:c>
      <x:c r="H143" s="9" t="str">
        <x:v>MONTSERRAT KARIME PAZ CARDENAS</x:v>
      </x:c>
      <x:c r="I143" s="9" t="str">
        <x:v>PACM-15607.pdf</x:v>
      </x:c>
      <x:c r="J143" s="9" t="str">
        <x:v>MATERIAL</x:v>
      </x:c>
      <x:c r="K143" s="9" t="str">
        <x:v>TRANSFERENCIA</x:v>
      </x:c>
      <x:c r="L143" s="9" t="str">
        <x:v>MXN</x:v>
      </x:c>
      <x:c r="M143" s="30"/>
      <x:c r="N143" s="30" t="n">
        <x:v>2614</x:v>
      </x:c>
    </x:row>
    <x:row r="144" ht="42" customHeight="1">
      <x:c r="A144" s="9" t="str">
        <x:v>REV-046</x:v>
      </x:c>
      <x:c r="B144" s="9" t="str">
        <x:v>TORRE_H</x:v>
      </x:c>
      <x:c r="C144" s="9" t="str">
        <x:v>MÁRMOL</x:v>
      </x:c>
      <x:c r="D144" s="9" t="str">
        <x:v>COLOCACION PISOS, ESCALERAS Y CUBIERTA DE MUEBLES BAÑO</x:v>
      </x:c>
      <x:c r="E144" s="9" t="str">
        <x:v>HERRAMIENTA MENOR</x:v>
      </x:c>
      <x:c r="F144" s="37" t="n">
        <x:v>25</x:v>
      </x:c>
      <x:c r="G144" s="25" t="d">
        <x:v>2026-08-07T00:00:00.000Z</x:v>
      </x:c>
      <x:c r="H144" s="9" t="str">
        <x:v>MONTSERRAT KARIME PAZ CARDENAS</x:v>
      </x:c>
      <x:c r="I144" s="9" t="str">
        <x:v>PACM-15608.pdf</x:v>
      </x:c>
      <x:c r="J144" s="9" t="str">
        <x:v>MATERIAL</x:v>
      </x:c>
      <x:c r="K144" s="9" t="str">
        <x:v>TRANSFERENCIA</x:v>
      </x:c>
      <x:c r="L144" s="9" t="str">
        <x:v>MXN</x:v>
      </x:c>
      <x:c r="M144" s="30"/>
      <x:c r="N144" s="30" t="n">
        <x:v>2788</x:v>
      </x:c>
    </x:row>
    <x:row r="145" ht="42" customHeight="1">
      <x:c r="A145" s="9" t="str">
        <x:v>REV-046</x:v>
      </x:c>
      <x:c r="B145" s="9" t="str">
        <x:v>TORRE_H</x:v>
      </x:c>
      <x:c r="C145" s="9" t="str">
        <x:v>MÁRMOL</x:v>
      </x:c>
      <x:c r="D145" s="9" t="str">
        <x:v>COLOCACION PISOS, ESCALERAS Y CUBIERTA DE MUEBLES BAÑO</x:v>
      </x:c>
      <x:c r="E145" s="9" t="str">
        <x:v>HERRAMIENTA MENOR</x:v>
      </x:c>
      <x:c r="F145" s="37" t="n">
        <x:v>1980</x:v>
      </x:c>
      <x:c r="G145" s="25" t="d">
        <x:v>2026-08-07T00:00:00.000Z</x:v>
      </x:c>
      <x:c r="H145" s="9" t="str">
        <x:v>MONTSERRAT KARIME PAZ CARDENAS</x:v>
      </x:c>
      <x:c r="I145" s="9" t="str">
        <x:v>PACM-15608.pdf</x:v>
      </x:c>
      <x:c r="J145" s="9" t="str">
        <x:v>MATERIAL</x:v>
      </x:c>
      <x:c r="K145" s="9" t="str">
        <x:v>TRANSFERENCIA</x:v>
      </x:c>
      <x:c r="L145" s="9" t="str">
        <x:v>MXN</x:v>
      </x:c>
      <x:c r="M145" s="30"/>
      <x:c r="N145" s="30" t="n">
        <x:v>2790</x:v>
      </x:c>
    </x:row>
    <x:row r="146" ht="42" customHeight="1">
      <x:c r="A146" s="9" t="str">
        <x:v>REV-047</x:v>
      </x:c>
      <x:c r="B146" s="9" t="str">
        <x:v>TORRE_H</x:v>
      </x:c>
      <x:c r="C146" s="9" t="str">
        <x:v>MÁRMOL</x:v>
      </x:c>
      <x:c r="D146" s="9" t="str">
        <x:v>COLOCACION PISOS, ESCALERAS Y CUBIERTA DE MUEBLES BAÑO</x:v>
      </x:c>
      <x:c r="E146" s="9" t="str">
        <x:v>HERRAMIENTA MENOR</x:v>
      </x:c>
      <x:c r="F146" s="37" t="n">
        <x:v>1220</x:v>
      </x:c>
      <x:c r="G146" s="25" t="d">
        <x:v>2026-08-07T00:00:00.000Z</x:v>
      </x:c>
      <x:c r="H146" s="9" t="str">
        <x:v>MONTSERRAT KARIME PAZ CARDENAS</x:v>
      </x:c>
      <x:c r="I146" s="9" t="str">
        <x:v>PACM-15609.pdf</x:v>
      </x:c>
      <x:c r="J146" s="9" t="str">
        <x:v>MATERIAL</x:v>
      </x:c>
      <x:c r="K146" s="9" t="str">
        <x:v>TRANSFERENCIA</x:v>
      </x:c>
      <x:c r="L146" s="9" t="str">
        <x:v>MXN</x:v>
      </x:c>
      <x:c r="M146" s="30"/>
      <x:c r="N146" s="30" t="n">
        <x:v>2789</x:v>
      </x:c>
    </x:row>
    <x:row r="147" ht="42" customHeight="1">
      <x:c r="A147" s="9" t="str">
        <x:v>REV-048</x:v>
      </x:c>
      <x:c r="B147" s="9" t="str">
        <x:v>TORRE_H</x:v>
      </x:c>
      <x:c r="C147" s="9" t="str">
        <x:v>HERRERÍA</x:v>
      </x:c>
      <x:c r="D147" s="9" t="str">
        <x:v>PASAMANOS/BARANDALES</x:v>
      </x:c>
      <x:c r="E147" s="9" t="str"/>
      <x:c r="F147" s="37" t="n">
        <x:v>100000</x:v>
      </x:c>
      <x:c r="G147" s="25" t="d">
        <x:v>2026-08-14T00:00:00.000Z</x:v>
      </x:c>
      <x:c r="H147" s="9" t="str">
        <x:v>ERIC SOLEDAD ROMERO</x:v>
      </x:c>
      <x:c r="I147" s="9" t="str">
        <x:v>ESR--260814.pdf</x:v>
      </x:c>
      <x:c r="J147" s="9" t="str">
        <x:v>OTRO</x:v>
      </x:c>
      <x:c r="K147" s="9" t="str">
        <x:v>TRANSFERENCIA</x:v>
      </x:c>
      <x:c r="L147" s="9" t="str">
        <x:v>MXN</x:v>
      </x:c>
      <x:c r="M147" s="30"/>
      <x:c r="N147" s="30" t="n">
        <x:v>2249</x:v>
      </x:c>
    </x:row>
    <x:row r="148" ht="42" customHeight="1">
      <x:c r="A148" s="9" t="str">
        <x:v>REV-049</x:v>
      </x:c>
      <x:c r="B148" s="9" t="str">
        <x:v>TORRE_H</x:v>
      </x:c>
      <x:c r="C148" s="9" t="str">
        <x:v>ELECTRICIDAD</x:v>
      </x:c>
      <x:c r="D148" s="9" t="str">
        <x:v>INSTALACIÓN ELÉCTRICA PARA LÁMPARAS Y CONTACTOS</x:v>
      </x:c>
      <x:c r="E148" s="9" t="str"/>
      <x:c r="F148" s="37" t="n">
        <x:v>376945.665</x:v>
      </x:c>
      <x:c r="G148" s="25" t="d">
        <x:v>2026-08-14T00:00:00.000Z</x:v>
      </x:c>
      <x:c r="H148" s="9" t="str">
        <x:v>JESUS ALBERTO HERNANDEZ DE HARO</x:v>
      </x:c>
      <x:c r="I148" s="9" t="str">
        <x:v>JAH--260814.pdf</x:v>
      </x:c>
      <x:c r="J148" s="9" t="str">
        <x:v>OTRO</x:v>
      </x:c>
      <x:c r="K148" s="9" t="str">
        <x:v>TRANSFERENCIA</x:v>
      </x:c>
      <x:c r="L148" s="9" t="str">
        <x:v>MXN</x:v>
      </x:c>
      <x:c r="M148" s="30"/>
      <x:c r="N148" s="30" t="n">
        <x:v>2146</x:v>
      </x:c>
    </x:row>
    <x:row r="149" ht="42" customHeight="1">
      <x:c r="A149" s="9" t="str">
        <x:v>REV-050</x:v>
      </x:c>
      <x:c r="B149" s="9" t="str">
        <x:v>TORRE_H</x:v>
      </x:c>
      <x:c r="C149" s="9" t="str">
        <x:v>MÁRMOL</x:v>
      </x:c>
      <x:c r="D149" s="9" t="str">
        <x:v>COLOCACION PISOS, ESCALERAS Y CUBIERTA DE MUEBLES BAÑO</x:v>
      </x:c>
      <x:c r="E149" s="9" t="str">
        <x:v>HERRAMIENTA MENOR</x:v>
      </x:c>
      <x:c r="F149" s="37" t="n">
        <x:v>1220</x:v>
      </x:c>
      <x:c r="G149" s="25" t="d">
        <x:v>2026-08-14T00:00:00.000Z</x:v>
      </x:c>
      <x:c r="H149" s="9" t="str">
        <x:v>MONTSERRAT KARIME PAZ CARDENAS</x:v>
      </x:c>
      <x:c r="I149" s="9" t="str">
        <x:v>MKP-COL-260814.pdf</x:v>
      </x:c>
      <x:c r="J149" s="9" t="str">
        <x:v>MATERIAL</x:v>
      </x:c>
      <x:c r="K149" s="9" t="str">
        <x:v>TRANSFERENCIA</x:v>
      </x:c>
      <x:c r="L149" s="9" t="str">
        <x:v>MXN</x:v>
      </x:c>
      <x:c r="M149" s="30"/>
      <x:c r="N149" s="30" t="n">
        <x:v>2800</x:v>
      </x:c>
    </x:row>
    <x:row r="150" ht="42" customHeight="1">
      <x:c r="A150" s="9" t="str">
        <x:v>REV-051</x:v>
      </x:c>
      <x:c r="B150" s="9" t="str">
        <x:v>TORRE_H</x:v>
      </x:c>
      <x:c r="C150" s="9" t="str">
        <x:v>MÁRMOL</x:v>
      </x:c>
      <x:c r="D150" s="9" t="str">
        <x:v>COLOCACION PISOS, ESCALERAS Y CUBIERTA DE MUEBLES BAÑO</x:v>
      </x:c>
      <x:c r="E150" s="9" t="str">
        <x:v>HERRAMIENTA MENOR</x:v>
      </x:c>
      <x:c r="F150" s="37" t="n">
        <x:v>12064</x:v>
      </x:c>
      <x:c r="G150" s="25" t="d">
        <x:v>2026-08-21T00:00:00.000Z</x:v>
      </x:c>
      <x:c r="H150" s="9" t="str">
        <x:v>FITZER CONSTRUCTION SA DE CV</x:v>
      </x:c>
      <x:c r="I150" s="9" t="str">
        <x:v>FCO-2131.pdf</x:v>
      </x:c>
      <x:c r="J150" s="9" t="str">
        <x:v>MATERIAL</x:v>
      </x:c>
      <x:c r="K150" s="9" t="str">
        <x:v>TRANSFERENCIA</x:v>
      </x:c>
      <x:c r="L150" s="9" t="str">
        <x:v>MXN</x:v>
      </x:c>
      <x:c r="M150" s="30"/>
      <x:c r="N150" s="30" t="n">
        <x:v>2803</x:v>
      </x:c>
    </x:row>
    <x:row r="151" ht="42" customHeight="1">
      <x:c r="A151" s="9" t="str">
        <x:v>REV-051</x:v>
      </x:c>
      <x:c r="B151" s="9" t="str">
        <x:v>TORRE_H</x:v>
      </x:c>
      <x:c r="C151" s="9" t="str">
        <x:v>MÁRMOL</x:v>
      </x:c>
      <x:c r="D151" s="9" t="str">
        <x:v>COLOCACION PISOS, ESCALERAS Y CUBIERTA DE MUEBLES BAÑO</x:v>
      </x:c>
      <x:c r="E151" s="9" t="str">
        <x:v>HERRAMIENTA MENOR</x:v>
      </x:c>
      <x:c r="F151" s="37" t="n">
        <x:v>22620</x:v>
      </x:c>
      <x:c r="G151" s="25" t="d">
        <x:v>2026-08-21T00:00:00.000Z</x:v>
      </x:c>
      <x:c r="H151" s="9" t="str">
        <x:v>FITZER CONSTRUCTION SA DE CV</x:v>
      </x:c>
      <x:c r="I151" s="9" t="str">
        <x:v>FCO-2131.pdf</x:v>
      </x:c>
      <x:c r="J151" s="9" t="str">
        <x:v>MATERIAL</x:v>
      </x:c>
      <x:c r="K151" s="9" t="str">
        <x:v>TRANSFERENCIA</x:v>
      </x:c>
      <x:c r="L151" s="9" t="str">
        <x:v>MXN</x:v>
      </x:c>
      <x:c r="M151" s="30"/>
      <x:c r="N151" s="30" t="n">
        <x:v>2804</x:v>
      </x:c>
    </x:row>
    <x:row r="152" ht="42" customHeight="1">
      <x:c r="A152" s="9" t="str">
        <x:v>REV-052</x:v>
      </x:c>
      <x:c r="B152" s="9" t="str">
        <x:v>TORRE_H</x:v>
      </x:c>
      <x:c r="C152" s="9" t="str">
        <x:v>MÁRMOL</x:v>
      </x:c>
      <x:c r="D152" s="9" t="str">
        <x:v>COLOCACION PISOS, ESCALERAS Y CUBIERTA DE MUEBLES BAÑO</x:v>
      </x:c>
      <x:c r="E152" s="9" t="str">
        <x:v>HERRAMIENTA MENOR</x:v>
      </x:c>
      <x:c r="F152" s="37" t="n">
        <x:v>65</x:v>
      </x:c>
      <x:c r="G152" s="25" t="d">
        <x:v>2026-08-24T00:00:00.000Z</x:v>
      </x:c>
      <x:c r="H152" s="9" t="str">
        <x:v>MONTSERRAT KARIME PAZ CARDENAS</x:v>
      </x:c>
      <x:c r="I152" s="9" t="str">
        <x:v>PACM-15776.pdf</x:v>
      </x:c>
      <x:c r="J152" s="9" t="str">
        <x:v>MATERIAL</x:v>
      </x:c>
      <x:c r="K152" s="9" t="str">
        <x:v>TRANSFERENCIA</x:v>
      </x:c>
      <x:c r="L152" s="9" t="str">
        <x:v>MXN</x:v>
      </x:c>
      <x:c r="M152" s="30"/>
      <x:c r="N152" s="30" t="n">
        <x:v>2805</x:v>
      </x:c>
    </x:row>
    <x:row r="153" ht="42" customHeight="1">
      <x:c r="A153" s="9" t="str">
        <x:v>REV-052</x:v>
      </x:c>
      <x:c r="B153" s="9" t="str">
        <x:v>TORRE_H</x:v>
      </x:c>
      <x:c r="C153" s="9" t="str">
        <x:v>MÁRMOL</x:v>
      </x:c>
      <x:c r="D153" s="9" t="str">
        <x:v>COLOCACION PISOS, ESCALERAS Y CUBIERTA DE MUEBLES BAÑO</x:v>
      </x:c>
      <x:c r="E153" s="9" t="str">
        <x:v>HERRAMIENTA MENOR</x:v>
      </x:c>
      <x:c r="F153" s="37" t="n">
        <x:v>330</x:v>
      </x:c>
      <x:c r="G153" s="25" t="d">
        <x:v>2026-08-24T00:00:00.000Z</x:v>
      </x:c>
      <x:c r="H153" s="9" t="str">
        <x:v>MONTSERRAT KARIME PAZ CARDENAS</x:v>
      </x:c>
      <x:c r="I153" s="9" t="str">
        <x:v>PACM-15776.pdf</x:v>
      </x:c>
      <x:c r="J153" s="9" t="str">
        <x:v>MATERIAL</x:v>
      </x:c>
      <x:c r="K153" s="9" t="str">
        <x:v>TRANSFERENCIA</x:v>
      </x:c>
      <x:c r="L153" s="9" t="str">
        <x:v>MXN</x:v>
      </x:c>
      <x:c r="M153" s="30"/>
      <x:c r="N153" s="30" t="n">
        <x:v>2807</x:v>
      </x:c>
    </x:row>
    <x:row r="154" ht="42" customHeight="1">
      <x:c r="A154" s="9" t="str">
        <x:v>REV-052</x:v>
      </x:c>
      <x:c r="B154" s="9" t="str">
        <x:v>TORRE_H</x:v>
      </x:c>
      <x:c r="C154" s="9" t="str">
        <x:v>MÁRMOL</x:v>
      </x:c>
      <x:c r="D154" s="9" t="str">
        <x:v>COLOCACION PISOS, ESCALERAS Y CUBIERTA DE MUEBLES BAÑO</x:v>
      </x:c>
      <x:c r="E154" s="9" t="str">
        <x:v>HERRAMIENTA MENOR</x:v>
      </x:c>
      <x:c r="F154" s="37" t="n">
        <x:v>668</x:v>
      </x:c>
      <x:c r="G154" s="25" t="d">
        <x:v>2026-08-24T00:00:00.000Z</x:v>
      </x:c>
      <x:c r="H154" s="9" t="str">
        <x:v>MONTSERRAT KARIME PAZ CARDENAS</x:v>
      </x:c>
      <x:c r="I154" s="9" t="str">
        <x:v>PACM-15776.pdf</x:v>
      </x:c>
      <x:c r="J154" s="9" t="str">
        <x:v>MATERIAL</x:v>
      </x:c>
      <x:c r="K154" s="9" t="str">
        <x:v>TRANSFERENCIA</x:v>
      </x:c>
      <x:c r="L154" s="9" t="str">
        <x:v>MXN</x:v>
      </x:c>
      <x:c r="M154" s="30"/>
      <x:c r="N154" s="30" t="n">
        <x:v>2809</x:v>
      </x:c>
    </x:row>
    <x:row r="155" ht="42" customHeight="1">
      <x:c r="A155" s="9" t="str">
        <x:v>REV-052</x:v>
      </x:c>
      <x:c r="B155" s="9" t="str">
        <x:v>TORRE_H</x:v>
      </x:c>
      <x:c r="C155" s="9" t="str">
        <x:v>MÁRMOL</x:v>
      </x:c>
      <x:c r="D155" s="9" t="str">
        <x:v>COLOCACION PISOS, ESCALERAS Y CUBIERTA DE MUEBLES BAÑO</x:v>
      </x:c>
      <x:c r="E155" s="9" t="str">
        <x:v>HERRAMIENTA MENOR</x:v>
      </x:c>
      <x:c r="F155" s="37" t="n">
        <x:v>1220</x:v>
      </x:c>
      <x:c r="G155" s="25" t="d">
        <x:v>2026-08-24T00:00:00.000Z</x:v>
      </x:c>
      <x:c r="H155" s="9" t="str">
        <x:v>MONTSERRAT KARIME PAZ CARDENAS</x:v>
      </x:c>
      <x:c r="I155" s="9" t="str">
        <x:v>PACM-15776.pdf</x:v>
      </x:c>
      <x:c r="J155" s="9" t="str">
        <x:v>MATERIAL</x:v>
      </x:c>
      <x:c r="K155" s="9" t="str">
        <x:v>TRANSFERENCIA</x:v>
      </x:c>
      <x:c r="L155" s="9" t="str">
        <x:v>MXN</x:v>
      </x:c>
      <x:c r="M155" s="30"/>
      <x:c r="N155" s="30" t="n">
        <x:v>2811</x:v>
      </x:c>
    </x:row>
    <x:row r="156" ht="42" customHeight="1">
      <x:c r="A156" s="9" t="str">
        <x:v>REV-053</x:v>
      </x:c>
      <x:c r="B156" s="9" t="str">
        <x:v>TORRE_H</x:v>
      </x:c>
      <x:c r="C156" s="9" t="str">
        <x:v>MÁRMOL</x:v>
      </x:c>
      <x:c r="D156" s="9" t="str">
        <x:v>COLOCACION PISOS, ESCALERAS Y CUBIERTA DE MUEBLES BAÑO</x:v>
      </x:c>
      <x:c r="E156" s="9" t="str">
        <x:v>HERRAMIENTA MENOR</x:v>
      </x:c>
      <x:c r="F156" s="37" t="n">
        <x:v>130</x:v>
      </x:c>
      <x:c r="G156" s="25" t="d">
        <x:v>2026-08-24T00:00:00.000Z</x:v>
      </x:c>
      <x:c r="H156" s="9" t="str">
        <x:v>MONTSERRAT KARIME PAZ CARDENAS</x:v>
      </x:c>
      <x:c r="I156" s="9" t="str">
        <x:v>PACM-15778.pdf</x:v>
      </x:c>
      <x:c r="J156" s="9" t="str">
        <x:v>MATERIAL</x:v>
      </x:c>
      <x:c r="K156" s="9" t="str">
        <x:v>TRANSFERENCIA</x:v>
      </x:c>
      <x:c r="L156" s="9" t="str">
        <x:v>MXN</x:v>
      </x:c>
      <x:c r="M156" s="30"/>
      <x:c r="N156" s="30" t="n">
        <x:v>2806</x:v>
      </x:c>
    </x:row>
    <x:row r="157" ht="42" customHeight="1">
      <x:c r="A157" s="9" t="str">
        <x:v>REV-053</x:v>
      </x:c>
      <x:c r="B157" s="9" t="str">
        <x:v>TORRE_H</x:v>
      </x:c>
      <x:c r="C157" s="9" t="str">
        <x:v>MÁRMOL</x:v>
      </x:c>
      <x:c r="D157" s="9" t="str">
        <x:v>COLOCACION PISOS, ESCALERAS Y CUBIERTA DE MUEBLES BAÑO</x:v>
      </x:c>
      <x:c r="E157" s="9" t="str">
        <x:v>HERRAMIENTA MENOR</x:v>
      </x:c>
      <x:c r="F157" s="37" t="n">
        <x:v>334</x:v>
      </x:c>
      <x:c r="G157" s="25" t="d">
        <x:v>2026-08-24T00:00:00.000Z</x:v>
      </x:c>
      <x:c r="H157" s="9" t="str">
        <x:v>MONTSERRAT KARIME PAZ CARDENAS</x:v>
      </x:c>
      <x:c r="I157" s="9" t="str">
        <x:v>PACM-15778.pdf</x:v>
      </x:c>
      <x:c r="J157" s="9" t="str">
        <x:v>MATERIAL</x:v>
      </x:c>
      <x:c r="K157" s="9" t="str">
        <x:v>TRANSFERENCIA</x:v>
      </x:c>
      <x:c r="L157" s="9" t="str">
        <x:v>MXN</x:v>
      </x:c>
      <x:c r="M157" s="30"/>
      <x:c r="N157" s="30" t="n">
        <x:v>2808</x:v>
      </x:c>
    </x:row>
    <x:row r="158" ht="42" customHeight="1">
      <x:c r="A158" s="9" t="str">
        <x:v>REV-053</x:v>
      </x:c>
      <x:c r="B158" s="9" t="str">
        <x:v>TORRE_H</x:v>
      </x:c>
      <x:c r="C158" s="9" t="str">
        <x:v>MÁRMOL</x:v>
      </x:c>
      <x:c r="D158" s="9" t="str">
        <x:v>COLOCACION PISOS, ESCALERAS Y CUBIERTA DE MUEBLES BAÑO</x:v>
      </x:c>
      <x:c r="E158" s="9" t="str">
        <x:v>HERRAMIENTA MENOR</x:v>
      </x:c>
      <x:c r="F158" s="37" t="n">
        <x:v>1220</x:v>
      </x:c>
      <x:c r="G158" s="25" t="d">
        <x:v>2026-08-24T00:00:00.000Z</x:v>
      </x:c>
      <x:c r="H158" s="9" t="str">
        <x:v>MONTSERRAT KARIME PAZ CARDENAS</x:v>
      </x:c>
      <x:c r="I158" s="9" t="str">
        <x:v>PACM-15778.pdf</x:v>
      </x:c>
      <x:c r="J158" s="9" t="str">
        <x:v>MATERIAL</x:v>
      </x:c>
      <x:c r="K158" s="9" t="str">
        <x:v>TRANSFERENCIA</x:v>
      </x:c>
      <x:c r="L158" s="9" t="str">
        <x:v>MXN</x:v>
      </x:c>
      <x:c r="M158" s="30"/>
      <x:c r="N158" s="30" t="n">
        <x:v>2810</x:v>
      </x:c>
    </x:row>
    <x:row r="159" ht="42" customHeight="1">
      <x:c r="A159" s="9" t="str">
        <x:v>REV-054</x:v>
      </x:c>
      <x:c r="B159" s="9" t="str">
        <x:v>TORRE_H</x:v>
      </x:c>
      <x:c r="C159" s="9" t="str">
        <x:v>ALBAÑILERÍAS</x:v>
      </x:c>
      <x:c r="D159" s="9" t="str">
        <x:v>ACERO</x:v>
      </x:c>
      <x:c r="E159" s="9" t="str">
        <x:v>TEC 60 " (0.25 KG/M)</x:v>
      </x:c>
      <x:c r="F159" s="37" t="n">
        <x:v>1591.23</x:v>
      </x:c>
      <x:c r="G159" s="25" t="d">
        <x:v>2026-08-24T00:00:00.000Z</x:v>
      </x:c>
      <x:c r="H159" s="9" t="str">
        <x:v>CONCRETOS EL PALMAR (VILLAGOMEZ JURADO)</x:v>
      </x:c>
      <x:c r="I159" s="9" t="str">
        <x:v>PLM-500118007.pdf</x:v>
      </x:c>
      <x:c r="J159" s="9" t="str">
        <x:v>MATERIAL</x:v>
      </x:c>
      <x:c r="K159" s="9" t="str">
        <x:v>TRANSFERENCIA</x:v>
      </x:c>
      <x:c r="L159" s="9" t="str">
        <x:v>MXN</x:v>
      </x:c>
      <x:c r="M159" s="30"/>
      <x:c r="N159" s="30" t="n">
        <x:v>1473</x:v>
      </x:c>
    </x:row>
    <x:row r="160" ht="42" customHeight="1">
      <x:c r="A160" s="9" t="str">
        <x:v>REV-054</x:v>
      </x:c>
      <x:c r="B160" s="9" t="str">
        <x:v>TORRE_H</x:v>
      </x:c>
      <x:c r="C160" s="9" t="str">
        <x:v>ALBAÑILERÍAS</x:v>
      </x:c>
      <x:c r="D160" s="9" t="str">
        <x:v>CEMENTANTES</x:v>
      </x:c>
      <x:c r="E160" s="9" t="str">
        <x:v>CEMENTO GRIS</x:v>
      </x:c>
      <x:c r="F160" s="37" t="n">
        <x:v>1870.21</x:v>
      </x:c>
      <x:c r="G160" s="25" t="d">
        <x:v>2026-08-24T00:00:00.000Z</x:v>
      </x:c>
      <x:c r="H160" s="9" t="str">
        <x:v>CONCRETOS EL PALMAR (VILLAGOMEZ JURADO)</x:v>
      </x:c>
      <x:c r="I160" s="9" t="str">
        <x:v>PLM-500118007.pdf</x:v>
      </x:c>
      <x:c r="J160" s="9" t="str">
        <x:v>MATERIAL</x:v>
      </x:c>
      <x:c r="K160" s="9" t="str">
        <x:v>TRANSFERENCIA</x:v>
      </x:c>
      <x:c r="L160" s="9" t="str">
        <x:v>MXN</x:v>
      </x:c>
      <x:c r="M160" s="30"/>
      <x:c r="N160" s="30" t="n">
        <x:v>1492</x:v>
      </x:c>
    </x:row>
    <x:row r="161" ht="42" customHeight="1">
      <x:c r="A161" s="9" t="str">
        <x:v>REV-054</x:v>
      </x:c>
      <x:c r="B161" s="9" t="str">
        <x:v>TORRE_H</x:v>
      </x:c>
      <x:c r="C161" s="9" t="str">
        <x:v>ALBAÑILERÍAS</x:v>
      </x:c>
      <x:c r="D161" s="9" t="str">
        <x:v>PREFABRICADOS</x:v>
      </x:c>
      <x:c r="E161" s="9" t="str">
        <x:v>BLOCK HUECO DE CONCRETO</x:v>
      </x:c>
      <x:c r="F161" s="37" t="n">
        <x:v>3526.98</x:v>
      </x:c>
      <x:c r="G161" s="25" t="d">
        <x:v>2026-08-24T00:00:00.000Z</x:v>
      </x:c>
      <x:c r="H161" s="9" t="str">
        <x:v>CONCRETOS EL PALMAR (VILLAGOMEZ JURADO)</x:v>
      </x:c>
      <x:c r="I161" s="9" t="str">
        <x:v>PLM-500118007.pdf</x:v>
      </x:c>
      <x:c r="J161" s="9" t="str">
        <x:v>MATERIAL</x:v>
      </x:c>
      <x:c r="K161" s="9" t="str">
        <x:v>TRANSFERENCIA</x:v>
      </x:c>
      <x:c r="L161" s="9" t="str">
        <x:v>MXN</x:v>
      </x:c>
      <x:c r="M161" s="30"/>
      <x:c r="N161" s="30" t="n">
        <x:v>1934</x:v>
      </x:c>
    </x:row>
    <x:row r="162" ht="42" customHeight="1">
      <x:c r="A162" s="9" t="str">
        <x:v>REV-055</x:v>
      </x:c>
      <x:c r="B162" s="9" t="str">
        <x:v>TORRE_J</x:v>
      </x:c>
      <x:c r="C162" s="9" t="str">
        <x:v>ALBAÑILERÍAS</x:v>
      </x:c>
      <x:c r="D162" s="9" t="str">
        <x:v>MANO_OBRA</x:v>
      </x:c>
      <x:c r="E162" s="9" t="str">
        <x:v>AYUDANTE DE ALBAÑIL</x:v>
      </x:c>
      <x:c r="F162" s="37" t="n">
        <x:v>5456</x:v>
      </x:c>
      <x:c r="G162" s="25" t="d">
        <x:v>2026-08-24T00:00:00.000Z</x:v>
      </x:c>
      <x:c r="H162" s="9" t="str">
        <x:v>DISPERSIÓN</x:v>
      </x:c>
      <x:c r="I162" s="9" t="str">
        <x:v>DIS-LARENAJ-24082026.pdf</x:v>
      </x:c>
      <x:c r="J162" s="9" t="str">
        <x:v>OTRO</x:v>
      </x:c>
      <x:c r="K162" s="9" t="str">
        <x:v>TRANSFERENCIA</x:v>
      </x:c>
      <x:c r="L162" s="9" t="str">
        <x:v>MXN</x:v>
      </x:c>
      <x:c r="M162" s="30" t="n">
        <x:v>2</x:v>
      </x:c>
      <x:c r="N162" s="30" t="n">
        <x:v>5065</x:v>
      </x:c>
    </x:row>
    <x:row r="163" ht="42" customHeight="1">
      <x:c r="A163" s="9" t="str">
        <x:v>REV-055</x:v>
      </x:c>
      <x:c r="B163" s="9" t="str">
        <x:v>TORRE_J</x:v>
      </x:c>
      <x:c r="C163" s="9" t="str">
        <x:v>ALBAÑILERÍAS</x:v>
      </x:c>
      <x:c r="D163" s="9" t="str">
        <x:v>MANO_OBRA</x:v>
      </x:c>
      <x:c r="E163" s="9" t="str">
        <x:v>FASAR 36+IVA%</x:v>
      </x:c>
      <x:c r="F163" s="37" t="n">
        <x:v>16617.12</x:v>
      </x:c>
      <x:c r="G163" s="25" t="d">
        <x:v>2026-08-24T00:00:00.000Z</x:v>
      </x:c>
      <x:c r="H163" s="9" t="str">
        <x:v>DISPERSIÓN</x:v>
      </x:c>
      <x:c r="I163" s="9" t="str">
        <x:v>DIS-LARENAJ-24082026.pdf</x:v>
      </x:c>
      <x:c r="J163" s="9" t="str">
        <x:v>OTRO</x:v>
      </x:c>
      <x:c r="K163" s="9" t="str">
        <x:v>TRANSFERENCIA</x:v>
      </x:c>
      <x:c r="L163" s="9" t="str">
        <x:v>MXN</x:v>
      </x:c>
      <x:c r="M163" s="30"/>
      <x:c r="N163" s="30" t="n">
        <x:v>5066</x:v>
      </x:c>
    </x:row>
    <x:row r="164" ht="42" customHeight="1">
      <x:c r="A164" s="9" t="str">
        <x:v>REV-055</x:v>
      </x:c>
      <x:c r="B164" s="9" t="str">
        <x:v>TORRE_J</x:v>
      </x:c>
      <x:c r="C164" s="9" t="str">
        <x:v>ALBAÑILERÍAS</x:v>
      </x:c>
      <x:c r="D164" s="9" t="str">
        <x:v>MANO_OBRA</x:v>
      </x:c>
      <x:c r="E164" s="9" t="str">
        <x:v>OFICIAL ALBAÑIL</x:v>
      </x:c>
      <x:c r="F164" s="37" t="n">
        <x:v>10601.79</x:v>
      </x:c>
      <x:c r="G164" s="25" t="d">
        <x:v>2026-08-24T00:00:00.000Z</x:v>
      </x:c>
      <x:c r="H164" s="9" t="str">
        <x:v>DISPERSIÓN</x:v>
      </x:c>
      <x:c r="I164" s="9" t="str">
        <x:v>DIS-LARENAJ-24082026.pdf</x:v>
      </x:c>
      <x:c r="J164" s="9" t="str">
        <x:v>OTRO</x:v>
      </x:c>
      <x:c r="K164" s="9" t="str">
        <x:v>TRANSFERENCIA</x:v>
      </x:c>
      <x:c r="L164" s="9" t="str">
        <x:v>MXN</x:v>
      </x:c>
      <x:c r="M164" s="30" t="n">
        <x:v>3</x:v>
      </x:c>
      <x:c r="N164" s="30" t="n">
        <x:v>5068</x:v>
      </x:c>
    </x:row>
    <x:row r="165" ht="42" customHeight="1">
      <x:c r="A165" s="9" t="str">
        <x:v>REV-055</x:v>
      </x:c>
      <x:c r="B165" s="9" t="str">
        <x:v>TORRE_J</x:v>
      </x:c>
      <x:c r="C165" s="9" t="str">
        <x:v>ALBAÑILERÍAS</x:v>
      </x:c>
      <x:c r="D165" s="9" t="str">
        <x:v>MANO_OBRA</x:v>
      </x:c>
      <x:c r="E165" s="9" t="str">
        <x:v>OFICIAL FIERRERO</x:v>
      </x:c>
      <x:c r="F165" s="37" t="n">
        <x:v>7900</x:v>
      </x:c>
      <x:c r="G165" s="25" t="d">
        <x:v>2026-08-24T00:00:00.000Z</x:v>
      </x:c>
      <x:c r="H165" s="9" t="str">
        <x:v>DISPERSIÓN</x:v>
      </x:c>
      <x:c r="I165" s="9" t="str">
        <x:v>DIS-LARENAJ-24082026.pdf</x:v>
      </x:c>
      <x:c r="J165" s="9" t="str">
        <x:v>OTRO</x:v>
      </x:c>
      <x:c r="K165" s="9" t="str">
        <x:v>TRANSFERENCIA</x:v>
      </x:c>
      <x:c r="L165" s="9" t="str">
        <x:v>MXN</x:v>
      </x:c>
      <x:c r="M165" s="30" t="n">
        <x:v>2</x:v>
      </x:c>
      <x:c r="N165" s="30" t="n">
        <x:v>5070</x:v>
      </x:c>
    </x:row>
    <x:row r="166" ht="42" customHeight="1">
      <x:c r="A166" s="9" t="str">
        <x:v>REV-056</x:v>
      </x:c>
      <x:c r="B166" s="9" t="str">
        <x:v>TORRE_J</x:v>
      </x:c>
      <x:c r="C166" s="9" t="str">
        <x:v>ALBAÑILERÍAS</x:v>
      </x:c>
      <x:c r="D166" s="9" t="str">
        <x:v>MANO_OBRA</x:v>
      </x:c>
      <x:c r="E166" s="9" t="str">
        <x:v>AYUDANTE DE ALBAÑIL</x:v>
      </x:c>
      <x:c r="F166" s="37" t="n">
        <x:v>3544</x:v>
      </x:c>
      <x:c r="G166" s="25" t="d">
        <x:v>2026-08-24T00:00:00.000Z</x:v>
      </x:c>
      <x:c r="H166" s="9" t="str">
        <x:v>EFECTIVO</x:v>
      </x:c>
      <x:c r="I166" s="9" t="str">
        <x:v>EFE-LARENAJ-24082026.pdf</x:v>
      </x:c>
      <x:c r="J166" s="9" t="str">
        <x:v>OTRO</x:v>
      </x:c>
      <x:c r="K166" s="9" t="str">
        <x:v>EFECTIVO</x:v>
      </x:c>
      <x:c r="L166" s="9" t="str">
        <x:v>MXN</x:v>
      </x:c>
      <x:c r="M166" s="30" t="n">
        <x:v>2</x:v>
      </x:c>
      <x:c r="N166" s="30" t="n">
        <x:v>5064</x:v>
      </x:c>
    </x:row>
    <x:row r="167" ht="42" customHeight="1">
      <x:c r="A167" s="9" t="str">
        <x:v>REV-056</x:v>
      </x:c>
      <x:c r="B167" s="9" t="str">
        <x:v>TORRE_J</x:v>
      </x:c>
      <x:c r="C167" s="9" t="str">
        <x:v>ALBAÑILERÍAS</x:v>
      </x:c>
      <x:c r="D167" s="9" t="str">
        <x:v>MANO_OBRA</x:v>
      </x:c>
      <x:c r="E167" s="9" t="str">
        <x:v>OFICIAL ALBAÑIL</x:v>
      </x:c>
      <x:c r="F167" s="37" t="n">
        <x:v>6969.64</x:v>
      </x:c>
      <x:c r="G167" s="25" t="d">
        <x:v>2026-08-24T00:00:00.000Z</x:v>
      </x:c>
      <x:c r="H167" s="9" t="str">
        <x:v>EFECTIVO</x:v>
      </x:c>
      <x:c r="I167" s="9" t="str">
        <x:v>EFE-LARENAJ-24082026.pdf</x:v>
      </x:c>
      <x:c r="J167" s="9" t="str">
        <x:v>OTRO</x:v>
      </x:c>
      <x:c r="K167" s="9" t="str">
        <x:v>EFECTIVO</x:v>
      </x:c>
      <x:c r="L167" s="9" t="str">
        <x:v>MXN</x:v>
      </x:c>
      <x:c r="M167" s="30" t="n">
        <x:v>3</x:v>
      </x:c>
      <x:c r="N167" s="30" t="n">
        <x:v>5067</x:v>
      </x:c>
    </x:row>
    <x:row r="168" ht="42" customHeight="1">
      <x:c r="A168" s="9" t="str">
        <x:v>REV-056</x:v>
      </x:c>
      <x:c r="B168" s="9" t="str">
        <x:v>TORRE_J</x:v>
      </x:c>
      <x:c r="C168" s="9" t="str">
        <x:v>ALBAÑILERÍAS</x:v>
      </x:c>
      <x:c r="D168" s="9" t="str">
        <x:v>MANO_OBRA</x:v>
      </x:c>
      <x:c r="E168" s="9" t="str">
        <x:v>OFICIAL FIERRERO</x:v>
      </x:c>
      <x:c r="F168" s="37" t="n">
        <x:v>5900</x:v>
      </x:c>
      <x:c r="G168" s="25" t="d">
        <x:v>2026-08-24T00:00:00.000Z</x:v>
      </x:c>
      <x:c r="H168" s="9" t="str">
        <x:v>EFECTIVO</x:v>
      </x:c>
      <x:c r="I168" s="9" t="str">
        <x:v>EFE-LARENAJ-24082026.pdf</x:v>
      </x:c>
      <x:c r="J168" s="9" t="str">
        <x:v>OTRO</x:v>
      </x:c>
      <x:c r="K168" s="9" t="str">
        <x:v>EFECTIVO</x:v>
      </x:c>
      <x:c r="L168" s="9" t="str">
        <x:v>MXN</x:v>
      </x:c>
      <x:c r="M168" s="30" t="n">
        <x:v>2</x:v>
      </x:c>
      <x:c r="N168" s="30" t="n">
        <x:v>5069</x:v>
      </x:c>
    </x:row>
    <x:row r="169" ht="42" customHeight="1">
      <x:c r="A169" s="9" t="str">
        <x:v>REV-057</x:v>
      </x:c>
      <x:c r="B169" s="9" t="str">
        <x:v>TORRE_J</x:v>
      </x:c>
      <x:c r="C169" s="9" t="str">
        <x:v>LOSA_3NRT</x:v>
      </x:c>
      <x:c r="D169" s="9" t="str">
        <x:v>HERRAMIENTA_MENOR</x:v>
      </x:c>
      <x:c r="E169" s="9" t="str">
        <x:v>HERRAMIENTA MENOR</x:v>
      </x:c>
      <x:c r="F169" s="37" t="n">
        <x:v>464</x:v>
      </x:c>
      <x:c r="G169" s="25" t="d">
        <x:v>2026-08-24T00:00:00.000Z</x:v>
      </x:c>
      <x:c r="H169" s="9" t="str">
        <x:v>ERNESTO PERALES OROZCO</x:v>
      </x:c>
      <x:c r="I169" s="9" t="str">
        <x:v>EPO--260824.pdf</x:v>
      </x:c>
      <x:c r="J169" s="9" t="str">
        <x:v>OTRO</x:v>
      </x:c>
      <x:c r="K169" s="9" t="str">
        <x:v>TRANSFERENCIA</x:v>
      </x:c>
      <x:c r="L169" s="9" t="str">
        <x:v>MXN</x:v>
      </x:c>
      <x:c r="M169" s="30"/>
      <x:c r="N169" s="30" t="n">
        <x:v>5263</x:v>
      </x:c>
    </x:row>
    <x:row r="170" ht="42" customHeight="1">
      <x:c r="A170" s="9" t="str">
        <x:v>REV-057</x:v>
      </x:c>
      <x:c r="B170" s="9" t="str">
        <x:v>TORRE_J</x:v>
      </x:c>
      <x:c r="C170" s="9" t="str">
        <x:v>LOSA_3NRT</x:v>
      </x:c>
      <x:c r="D170" s="9" t="str">
        <x:v>HERRAMIENTA_MENOR</x:v>
      </x:c>
      <x:c r="E170" s="9" t="str">
        <x:v>HERRAMIENTA MENOR</x:v>
      </x:c>
      <x:c r="F170" s="37" t="n">
        <x:v>1569.98</x:v>
      </x:c>
      <x:c r="G170" s="25" t="d">
        <x:v>2026-08-24T00:00:00.000Z</x:v>
      </x:c>
      <x:c r="H170" s="9" t="str">
        <x:v>ERNESTO PERALES OROZCO</x:v>
      </x:c>
      <x:c r="I170" s="9" t="str">
        <x:v>EPO--260824.pdf</x:v>
      </x:c>
      <x:c r="J170" s="9" t="str">
        <x:v>OTRO</x:v>
      </x:c>
      <x:c r="K170" s="9" t="str">
        <x:v>TRANSFERENCIA</x:v>
      </x:c>
      <x:c r="L170" s="9" t="str">
        <x:v>MXN</x:v>
      </x:c>
      <x:c r="M170" s="30"/>
      <x:c r="N170" s="30" t="n">
        <x:v>5264</x:v>
      </x:c>
    </x:row>
    <x:row r="171" ht="42" customHeight="1">
      <x:c r="A171" s="9" t="str">
        <x:v>REV-058</x:v>
      </x:c>
      <x:c r="B171" s="9" t="str">
        <x:v>TORRE_J</x:v>
      </x:c>
      <x:c r="C171" s="9" t="str">
        <x:v>ALBAÑILERÍAS</x:v>
      </x:c>
      <x:c r="D171" s="9" t="str">
        <x:v>SUBCONTRATOS</x:v>
      </x:c>
      <x:c r="E171" s="9" t="str">
        <x:v>RENTA TELEHANDLER</x:v>
      </x:c>
      <x:c r="F171" s="37" t="n">
        <x:v>4958.66</x:v>
      </x:c>
      <x:c r="G171" s="25" t="d">
        <x:v>2026-08-24T00:00:00.000Z</x:v>
      </x:c>
      <x:c r="H171" s="9" t="str">
        <x:v>MULTIRENTAS DEL PACIFICO</x:v>
      </x:c>
      <x:c r="I171" s="9" t="str">
        <x:v>MPA--260824.pdf</x:v>
      </x:c>
      <x:c r="J171" s="9" t="str">
        <x:v>OTRO</x:v>
      </x:c>
      <x:c r="K171" s="9" t="str">
        <x:v>TRANSFERENCIA</x:v>
      </x:c>
      <x:c r="L171" s="9" t="str">
        <x:v>MXN</x:v>
      </x:c>
      <x:c r="M171" s="30"/>
      <x:c r="N171" s="30" t="n">
        <x:v>5092</x:v>
      </x:c>
    </x:row>
    <x:row r="172" ht="42" customHeight="1">
      <x:c r="A172" s="9" t="str">
        <x:v>REV-058</x:v>
      </x:c>
      <x:c r="B172" s="9" t="str">
        <x:v>TORRE_J</x:v>
      </x:c>
      <x:c r="C172" s="9" t="str">
        <x:v>ALBAÑILERÍAS</x:v>
      </x:c>
      <x:c r="D172" s="9" t="str">
        <x:v>SUBCONTRATOS</x:v>
      </x:c>
      <x:c r="E172" s="9" t="str">
        <x:v>RENTA TELEHANDLER</x:v>
      </x:c>
      <x:c r="F172" s="37" t="n">
        <x:v>6763.8</x:v>
      </x:c>
      <x:c r="G172" s="25" t="d">
        <x:v>2026-08-24T00:00:00.000Z</x:v>
      </x:c>
      <x:c r="H172" s="9" t="str">
        <x:v>MULTIRENTAS DEL PACIFICO</x:v>
      </x:c>
      <x:c r="I172" s="9" t="str">
        <x:v>MPA--260824.pdf</x:v>
      </x:c>
      <x:c r="J172" s="9" t="str">
        <x:v>OTRO</x:v>
      </x:c>
      <x:c r="K172" s="9" t="str">
        <x:v>TRANSFERENCIA</x:v>
      </x:c>
      <x:c r="L172" s="9" t="str">
        <x:v>MXN</x:v>
      </x:c>
      <x:c r="M172" s="30"/>
      <x:c r="N172" s="30" t="n">
        <x:v>5093</x:v>
      </x:c>
    </x:row>
    <x:row r="173" ht="42" customHeight="1">
      <x:c r="A173" s="9" t="str">
        <x:v>REV-059</x:v>
      </x:c>
      <x:c r="B173" s="9" t="str">
        <x:v>L77</x:v>
      </x:c>
      <x:c r="C173" s="9" t="str">
        <x:v>MUROS_PN</x:v>
      </x:c>
      <x:c r="D173" s="9" t="str">
        <x:v>HERRAMIENTA_MENOR</x:v>
      </x:c>
      <x:c r="E173" s="9" t="str">
        <x:v>HERRAMIENTA MENOR</x:v>
      </x:c>
      <x:c r="F173" s="37" t="n">
        <x:v>3800.21</x:v>
      </x:c>
      <x:c r="G173" s="25" t="d">
        <x:v>2026-09-04T00:00:00.000Z</x:v>
      </x:c>
      <x:c r="H173" s="9" t="str">
        <x:v>VARIOS</x:v>
      </x:c>
      <x:c r="I173" s="9" t="str">
        <x:v>VAR-HER-040926.pdf</x:v>
      </x:c>
      <x:c r="J173" s="9" t="str">
        <x:v>MATERIAL</x:v>
      </x:c>
      <x:c r="K173" s="9" t="str">
        <x:v>EFECTIVO</x:v>
      </x:c>
      <x:c r="L173" s="9" t="str">
        <x:v>MXN</x:v>
      </x:c>
      <x:c r="M173" s="30"/>
      <x:c r="N173" s="30" t="n">
        <x:v>6565</x:v>
      </x:c>
    </x:row>
    <x:row r="174" ht="42" customHeight="1">
      <x:c r="A174" s="9" t="str">
        <x:v>REV-060</x:v>
      </x:c>
      <x:c r="B174" s="9" t="str">
        <x:v>L77</x:v>
      </x:c>
      <x:c r="C174" s="9" t="str">
        <x:v>LOSA_PN</x:v>
      </x:c>
      <x:c r="D174" s="9" t="str">
        <x:v>MANO_OBRA</x:v>
      </x:c>
      <x:c r="E174" s="9" t="str">
        <x:v>AYUDANTE DE ALBAÑIL</x:v>
      </x:c>
      <x:c r="F174" s="37" t="n">
        <x:v>18169.48</x:v>
      </x:c>
      <x:c r="G174" s="25" t="d">
        <x:v>2026-09-07T00:00:00.000Z</x:v>
      </x:c>
      <x:c r="H174" s="9" t="str">
        <x:v>DISPERSIÓN</x:v>
      </x:c>
      <x:c r="I174" s="9" t="str">
        <x:v>DIS-LT77-07092026.pdf</x:v>
      </x:c>
      <x:c r="J174" s="9" t="str">
        <x:v>OTRO</x:v>
      </x:c>
      <x:c r="K174" s="9" t="str">
        <x:v>TRANSFERENCIA</x:v>
      </x:c>
      <x:c r="L174" s="9" t="str">
        <x:v>MXN</x:v>
      </x:c>
      <x:c r="M174" s="30" t="n">
        <x:v>7</x:v>
      </x:c>
      <x:c r="N174" s="30" t="n">
        <x:v>6438</x:v>
      </x:c>
    </x:row>
    <x:row r="175" ht="42" customHeight="1">
      <x:c r="A175" s="9" t="str">
        <x:v>REV-060</x:v>
      </x:c>
      <x:c r="B175" s="9" t="str">
        <x:v>L77</x:v>
      </x:c>
      <x:c r="C175" s="9" t="str">
        <x:v>LOSA_PN</x:v>
      </x:c>
      <x:c r="D175" s="9" t="str">
        <x:v>MANO_OBRA</x:v>
      </x:c>
      <x:c r="E175" s="9" t="str">
        <x:v>CABO DE OFICIOS</x:v>
      </x:c>
      <x:c r="F175" s="37" t="n">
        <x:v>10304</x:v>
      </x:c>
      <x:c r="G175" s="25" t="d">
        <x:v>2026-09-07T00:00:00.000Z</x:v>
      </x:c>
      <x:c r="H175" s="9" t="str">
        <x:v>DISPERSIÓN</x:v>
      </x:c>
      <x:c r="I175" s="9" t="str">
        <x:v>DIS-LT77-07092026.pdf</x:v>
      </x:c>
      <x:c r="J175" s="9" t="str">
        <x:v>OTRO</x:v>
      </x:c>
      <x:c r="K175" s="9" t="str">
        <x:v>TRANSFERENCIA</x:v>
      </x:c>
      <x:c r="L175" s="9" t="str">
        <x:v>MXN</x:v>
      </x:c>
      <x:c r="M175" s="30" t="n">
        <x:v>2</x:v>
      </x:c>
      <x:c r="N175" s="30" t="n">
        <x:v>6439</x:v>
      </x:c>
    </x:row>
    <x:row r="176" ht="42" customHeight="1">
      <x:c r="A176" s="9" t="str">
        <x:v>REV-060</x:v>
      </x:c>
      <x:c r="B176" s="9" t="str">
        <x:v>L77</x:v>
      </x:c>
      <x:c r="C176" s="9" t="str">
        <x:v>LOSA_PN</x:v>
      </x:c>
      <x:c r="D176" s="9" t="str">
        <x:v>MANO_OBRA</x:v>
      </x:c>
      <x:c r="E176" s="9" t="str">
        <x:v>FASAR 36+IVA%</x:v>
      </x:c>
      <x:c r="F176" s="37" t="n">
        <x:v>50849.92</x:v>
      </x:c>
      <x:c r="G176" s="25" t="d">
        <x:v>2026-09-07T00:00:00.000Z</x:v>
      </x:c>
      <x:c r="H176" s="9" t="str">
        <x:v>DISPERSIÓN</x:v>
      </x:c>
      <x:c r="I176" s="9" t="str">
        <x:v>DIS-LT77-07092026.pdf</x:v>
      </x:c>
      <x:c r="J176" s="9" t="str">
        <x:v>OTRO</x:v>
      </x:c>
      <x:c r="K176" s="9" t="str">
        <x:v>TRANSFERENCIA</x:v>
      </x:c>
      <x:c r="L176" s="9" t="str">
        <x:v>MXN</x:v>
      </x:c>
      <x:c r="M176" s="30"/>
      <x:c r="N176" s="30" t="n">
        <x:v>6440</x:v>
      </x:c>
    </x:row>
    <x:row r="177" ht="42" customHeight="1">
      <x:c r="A177" s="9" t="str">
        <x:v>REV-060</x:v>
      </x:c>
      <x:c r="B177" s="9" t="str">
        <x:v>L77</x:v>
      </x:c>
      <x:c r="C177" s="9" t="str">
        <x:v>LOSA_PN</x:v>
      </x:c>
      <x:c r="D177" s="9" t="str">
        <x:v>MANO_OBRA</x:v>
      </x:c>
      <x:c r="E177" s="9" t="str">
        <x:v>OFICIAL ALBAÑIL</x:v>
      </x:c>
      <x:c r="F177" s="37" t="n">
        <x:v>3950</x:v>
      </x:c>
      <x:c r="G177" s="25" t="d">
        <x:v>2026-09-07T00:00:00.000Z</x:v>
      </x:c>
      <x:c r="H177" s="9" t="str">
        <x:v>DISPERSIÓN</x:v>
      </x:c>
      <x:c r="I177" s="9" t="str">
        <x:v>DIS-LT77-07092026.pdf</x:v>
      </x:c>
      <x:c r="J177" s="9" t="str">
        <x:v>OTRO</x:v>
      </x:c>
      <x:c r="K177" s="9" t="str">
        <x:v>TRANSFERENCIA</x:v>
      </x:c>
      <x:c r="L177" s="9" t="str">
        <x:v>MXN</x:v>
      </x:c>
      <x:c r="M177" s="30" t="n">
        <x:v>1</x:v>
      </x:c>
      <x:c r="N177" s="30" t="n">
        <x:v>6441</x:v>
      </x:c>
    </x:row>
    <x:row r="178" ht="42" customHeight="1">
      <x:c r="A178" s="9" t="str">
        <x:v>REV-060</x:v>
      </x:c>
      <x:c r="B178" s="9" t="str">
        <x:v>L77</x:v>
      </x:c>
      <x:c r="C178" s="9" t="str">
        <x:v>LOSA_PN</x:v>
      </x:c>
      <x:c r="D178" s="9" t="str">
        <x:v>MANO_OBRA</x:v>
      </x:c>
      <x:c r="E178" s="9" t="str">
        <x:v>OFICIAL CARPINTERO DE OBRA NEGRA</x:v>
      </x:c>
      <x:c r="F178" s="37" t="n">
        <x:v>29460.17</x:v>
      </x:c>
      <x:c r="G178" s="25" t="d">
        <x:v>2026-09-07T00:00:00.000Z</x:v>
      </x:c>
      <x:c r="H178" s="9" t="str">
        <x:v>DISPERSIÓN</x:v>
      </x:c>
      <x:c r="I178" s="9" t="str">
        <x:v>DIS-LT77-07092026.pdf</x:v>
      </x:c>
      <x:c r="J178" s="9" t="str">
        <x:v>OTRO</x:v>
      </x:c>
      <x:c r="K178" s="9" t="str">
        <x:v>TRANSFERENCIA</x:v>
      </x:c>
      <x:c r="L178" s="9" t="str">
        <x:v>MXN</x:v>
      </x:c>
      <x:c r="M178" s="30" t="n">
        <x:v>8</x:v>
      </x:c>
      <x:c r="N178" s="30" t="n">
        <x:v>6442</x:v>
      </x:c>
    </x:row>
    <x:row r="179" ht="42" customHeight="1">
      <x:c r="A179" s="9" t="str">
        <x:v>REV-060</x:v>
      </x:c>
      <x:c r="B179" s="9" t="str">
        <x:v>L77</x:v>
      </x:c>
      <x:c r="C179" s="9" t="str">
        <x:v>LOSA_PN</x:v>
      </x:c>
      <x:c r="D179" s="9" t="str">
        <x:v>MANO_OBRA</x:v>
      </x:c>
      <x:c r="E179" s="9" t="str">
        <x:v>OFICIAL FIERRERO</x:v>
      </x:c>
      <x:c r="F179" s="37" t="n">
        <x:v>11429.39</x:v>
      </x:c>
      <x:c r="G179" s="25" t="d">
        <x:v>2026-09-07T00:00:00.000Z</x:v>
      </x:c>
      <x:c r="H179" s="9" t="str">
        <x:v>DISPERSIÓN</x:v>
      </x:c>
      <x:c r="I179" s="9" t="str">
        <x:v>DIS-LT77-07092026.pdf</x:v>
      </x:c>
      <x:c r="J179" s="9" t="str">
        <x:v>OTRO</x:v>
      </x:c>
      <x:c r="K179" s="9" t="str">
        <x:v>TRANSFERENCIA</x:v>
      </x:c>
      <x:c r="L179" s="9" t="str">
        <x:v>MXN</x:v>
      </x:c>
      <x:c r="M179" s="30" t="n">
        <x:v>3</x:v>
      </x:c>
      <x:c r="N179" s="30" t="n">
        <x:v>6443</x:v>
      </x:c>
    </x:row>
    <x:row r="180" ht="42" customHeight="1">
      <x:c r="A180" s="9" t="str">
        <x:v>REV-061</x:v>
      </x:c>
      <x:c r="B180" s="9" t="str">
        <x:v>L77</x:v>
      </x:c>
      <x:c r="C180" s="9" t="str">
        <x:v>MUROS_PN</x:v>
      </x:c>
      <x:c r="D180" s="9" t="str">
        <x:v>HERRAMIENTA_MENOR</x:v>
      </x:c>
      <x:c r="E180" s="9" t="str">
        <x:v>HERRAMIENTA MENOR</x:v>
      </x:c>
      <x:c r="F180" s="37" t="n">
        <x:v>3532.1</x:v>
      </x:c>
      <x:c r="G180" s="25" t="d">
        <x:v>2026-09-11T00:00:00.000Z</x:v>
      </x:c>
      <x:c r="H180" s="9" t="str">
        <x:v>VARIOS</x:v>
      </x:c>
      <x:c r="I180" s="9" t="str">
        <x:v>VAR-HER-110926.pdf</x:v>
      </x:c>
      <x:c r="J180" s="9" t="str">
        <x:v>MATERIAL</x:v>
      </x:c>
      <x:c r="K180" s="9" t="str">
        <x:v>EFECTIVO</x:v>
      </x:c>
      <x:c r="L180" s="9" t="str">
        <x:v>MXN</x:v>
      </x:c>
      <x:c r="M180" s="30"/>
      <x:c r="N180" s="30" t="n">
        <x:v>6566</x:v>
      </x:c>
    </x:row>
    <x:row r="181" ht="42" customHeight="1">
      <x:c r="A181" s="9" t="str">
        <x:v>REV-062</x:v>
      </x:c>
      <x:c r="B181" s="9" t="str">
        <x:v>L77</x:v>
      </x:c>
      <x:c r="C181" s="9" t="str">
        <x:v>LOSA_PN</x:v>
      </x:c>
      <x:c r="D181" s="9" t="str">
        <x:v>MANO_OBRA</x:v>
      </x:c>
      <x:c r="E181" s="9" t="str">
        <x:v>AYUDANTE DE ALBAÑIL</x:v>
      </x:c>
      <x:c r="F181" s="37" t="n">
        <x:v>17982.83</x:v>
      </x:c>
      <x:c r="G181" s="25" t="d">
        <x:v>2026-09-14T00:00:00.000Z</x:v>
      </x:c>
      <x:c r="H181" s="9" t="str">
        <x:v>DISPERSIÓN</x:v>
      </x:c>
      <x:c r="I181" s="9" t="str">
        <x:v>DIS-LT77-14092026.pdf</x:v>
      </x:c>
      <x:c r="J181" s="9" t="str">
        <x:v>OTRO</x:v>
      </x:c>
      <x:c r="K181" s="9" t="str">
        <x:v>TRANSFERENCIA</x:v>
      </x:c>
      <x:c r="L181" s="9" t="str">
        <x:v>MXN</x:v>
      </x:c>
      <x:c r="M181" s="30" t="n">
        <x:v>7</x:v>
      </x:c>
      <x:c r="N181" s="30" t="n">
        <x:v>6444</x:v>
      </x:c>
    </x:row>
    <x:row r="182" ht="42" customHeight="1">
      <x:c r="A182" s="9" t="str">
        <x:v>REV-062</x:v>
      </x:c>
      <x:c r="B182" s="9" t="str">
        <x:v>L77</x:v>
      </x:c>
      <x:c r="C182" s="9" t="str">
        <x:v>LOSA_PN</x:v>
      </x:c>
      <x:c r="D182" s="9" t="str">
        <x:v>MANO_OBRA</x:v>
      </x:c>
      <x:c r="E182" s="9" t="str">
        <x:v>CABO DE OFICIOS</x:v>
      </x:c>
      <x:c r="F182" s="37" t="n">
        <x:v>10304</x:v>
      </x:c>
      <x:c r="G182" s="25" t="d">
        <x:v>2026-09-14T00:00:00.000Z</x:v>
      </x:c>
      <x:c r="H182" s="9" t="str">
        <x:v>DISPERSIÓN</x:v>
      </x:c>
      <x:c r="I182" s="9" t="str">
        <x:v>DIS-LT77-14092026.pdf</x:v>
      </x:c>
      <x:c r="J182" s="9" t="str">
        <x:v>OTRO</x:v>
      </x:c>
      <x:c r="K182" s="9" t="str">
        <x:v>TRANSFERENCIA</x:v>
      </x:c>
      <x:c r="L182" s="9" t="str">
        <x:v>MXN</x:v>
      </x:c>
      <x:c r="M182" s="30" t="n">
        <x:v>2</x:v>
      </x:c>
      <x:c r="N182" s="30" t="n">
        <x:v>6445</x:v>
      </x:c>
    </x:row>
    <x:row r="183" ht="42" customHeight="1">
      <x:c r="A183" s="9" t="str">
        <x:v>REV-062</x:v>
      </x:c>
      <x:c r="B183" s="9" t="str">
        <x:v>L77</x:v>
      </x:c>
      <x:c r="C183" s="9" t="str">
        <x:v>LOSA_PN</x:v>
      </x:c>
      <x:c r="D183" s="9" t="str">
        <x:v>MANO_OBRA</x:v>
      </x:c>
      <x:c r="E183" s="9" t="str">
        <x:v>FASAR 36+IVA%</x:v>
      </x:c>
      <x:c r="F183" s="37" t="n">
        <x:v>57792.14</x:v>
      </x:c>
      <x:c r="G183" s="25" t="d">
        <x:v>2026-09-14T00:00:00.000Z</x:v>
      </x:c>
      <x:c r="H183" s="9" t="str">
        <x:v>DISPERSIÓN</x:v>
      </x:c>
      <x:c r="I183" s="9" t="str">
        <x:v>DIS-LT77-14092026.pdf</x:v>
      </x:c>
      <x:c r="J183" s="9" t="str">
        <x:v>OTRO</x:v>
      </x:c>
      <x:c r="K183" s="9" t="str">
        <x:v>TRANSFERENCIA</x:v>
      </x:c>
      <x:c r="L183" s="9" t="str">
        <x:v>MXN</x:v>
      </x:c>
      <x:c r="M183" s="30"/>
      <x:c r="N183" s="30" t="n">
        <x:v>6446</x:v>
      </x:c>
    </x:row>
    <x:row r="184" ht="42" customHeight="1">
      <x:c r="A184" s="9" t="str">
        <x:v>REV-062</x:v>
      </x:c>
      <x:c r="B184" s="9" t="str">
        <x:v>L77</x:v>
      </x:c>
      <x:c r="C184" s="9" t="str">
        <x:v>LOSA_PN</x:v>
      </x:c>
      <x:c r="D184" s="9" t="str">
        <x:v>MANO_OBRA</x:v>
      </x:c>
      <x:c r="E184" s="9" t="str">
        <x:v>OFICIAL ALBAÑIL</x:v>
      </x:c>
      <x:c r="F184" s="37" t="n">
        <x:v>24276.39</x:v>
      </x:c>
      <x:c r="G184" s="25" t="d">
        <x:v>2026-09-14T00:00:00.000Z</x:v>
      </x:c>
      <x:c r="H184" s="9" t="str">
        <x:v>DISPERSIÓN</x:v>
      </x:c>
      <x:c r="I184" s="9" t="str">
        <x:v>DIS-LT77-14092026.pdf</x:v>
      </x:c>
      <x:c r="J184" s="9" t="str">
        <x:v>OTRO</x:v>
      </x:c>
      <x:c r="K184" s="9" t="str">
        <x:v>TRANSFERENCIA</x:v>
      </x:c>
      <x:c r="L184" s="9" t="str">
        <x:v>MXN</x:v>
      </x:c>
      <x:c r="M184" s="30" t="n">
        <x:v>7</x:v>
      </x:c>
      <x:c r="N184" s="30" t="n">
        <x:v>6447</x:v>
      </x:c>
    </x:row>
    <x:row r="185" ht="42" customHeight="1">
      <x:c r="A185" s="9" t="str">
        <x:v>REV-062</x:v>
      </x:c>
      <x:c r="B185" s="9" t="str">
        <x:v>L77</x:v>
      </x:c>
      <x:c r="C185" s="9" t="str">
        <x:v>LOSA_PN</x:v>
      </x:c>
      <x:c r="D185" s="9" t="str">
        <x:v>MANO_OBRA</x:v>
      </x:c>
      <x:c r="E185" s="9" t="str">
        <x:v>OFICIAL CARPINTERO DE OBRA NEGRA</x:v>
      </x:c>
      <x:c r="F185" s="37" t="n">
        <x:v>7479.39</x:v>
      </x:c>
      <x:c r="G185" s="25" t="d">
        <x:v>2026-09-14T00:00:00.000Z</x:v>
      </x:c>
      <x:c r="H185" s="9" t="str">
        <x:v>DISPERSIÓN</x:v>
      </x:c>
      <x:c r="I185" s="9" t="str">
        <x:v>DIS-LT77-14092026.pdf</x:v>
      </x:c>
      <x:c r="J185" s="9" t="str">
        <x:v>OTRO</x:v>
      </x:c>
      <x:c r="K185" s="9" t="str">
        <x:v>TRANSFERENCIA</x:v>
      </x:c>
      <x:c r="L185" s="9" t="str">
        <x:v>MXN</x:v>
      </x:c>
      <x:c r="M185" s="30" t="n">
        <x:v>2</x:v>
      </x:c>
      <x:c r="N185" s="30" t="n">
        <x:v>6448</x:v>
      </x:c>
    </x:row>
    <x:row r="186" ht="42" customHeight="1">
      <x:c r="A186" s="9" t="str">
        <x:v>REV-062</x:v>
      </x:c>
      <x:c r="B186" s="9" t="str">
        <x:v>L77</x:v>
      </x:c>
      <x:c r="C186" s="9" t="str">
        <x:v>LOSA_PN</x:v>
      </x:c>
      <x:c r="D186" s="9" t="str">
        <x:v>MANO_OBRA</x:v>
      </x:c>
      <x:c r="E186" s="9" t="str">
        <x:v>OFICIAL FIERRERO</x:v>
      </x:c>
      <x:c r="F186" s="37" t="n">
        <x:v>23279.39</x:v>
      </x:c>
      <x:c r="G186" s="25" t="d">
        <x:v>2026-09-14T00:00:00.000Z</x:v>
      </x:c>
      <x:c r="H186" s="9" t="str">
        <x:v>DISPERSIÓN</x:v>
      </x:c>
      <x:c r="I186" s="9" t="str">
        <x:v>DIS-LT77-14092026.pdf</x:v>
      </x:c>
      <x:c r="J186" s="9" t="str">
        <x:v>OTRO</x:v>
      </x:c>
      <x:c r="K186" s="9" t="str">
        <x:v>TRANSFERENCIA</x:v>
      </x:c>
      <x:c r="L186" s="9" t="str">
        <x:v>MXN</x:v>
      </x:c>
      <x:c r="M186" s="30" t="n">
        <x:v>6</x:v>
      </x:c>
      <x:c r="N186" s="30" t="n">
        <x:v>6449</x:v>
      </x:c>
    </x:row>
    <x:row r="187" ht="42" customHeight="1">
      <x:c r="A187" s="9" t="str">
        <x:v>REV-063</x:v>
      </x:c>
      <x:c r="B187" s="9" t="str">
        <x:v>L77</x:v>
      </x:c>
      <x:c r="C187" s="9" t="str">
        <x:v>MUROS_PN</x:v>
      </x:c>
      <x:c r="D187" s="9" t="str">
        <x:v>HERRAMIENTA_MENOR</x:v>
      </x:c>
      <x:c r="E187" s="9" t="str">
        <x:v>HERRAMIENTA MENOR</x:v>
      </x:c>
      <x:c r="F187" s="37" t="n">
        <x:v>2133.1099999999997</x:v>
      </x:c>
      <x:c r="G187" s="25" t="d">
        <x:v>2026-09-18T00:00:00.000Z</x:v>
      </x:c>
      <x:c r="H187" s="9" t="str">
        <x:v>VARIOS</x:v>
      </x:c>
      <x:c r="I187" s="9" t="str">
        <x:v>VAR-HER-180926.pdf</x:v>
      </x:c>
      <x:c r="J187" s="9" t="str">
        <x:v>MATERIAL</x:v>
      </x:c>
      <x:c r="K187" s="9" t="str">
        <x:v>EFECTIVO</x:v>
      </x:c>
      <x:c r="L187" s="9" t="str">
        <x:v>MXN</x:v>
      </x:c>
      <x:c r="M187" s="30"/>
      <x:c r="N187" s="30" t="n">
        <x:v>6567</x:v>
      </x:c>
    </x:row>
    <x:row r="188" ht="28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</x:row>
    <x:row r="189" ht="28" customHeight="1">
      <x:c r="A189" s="2"/>
      <x:c r="B189" s="2"/>
      <x:c r="C189" s="2"/>
      <x:c r="D189" s="2"/>
      <x:c r="E189" s="33" t="str">
        <x:v>TOTAL</x:v>
      </x:c>
      <x:c r="F189" s="34" t="n">
        <x:f>SUM(F7:F187)</x:f>
        <x:v>3265642.8280000007</x:v>
      </x:c>
      <x:c r="G189" s="2"/>
      <x:c r="H189" s="2"/>
      <x:c r="I189" s="2"/>
      <x:c r="J189" s="2"/>
      <x:c r="K189" s="2"/>
      <x:c r="L189" s="2"/>
      <x:c r="M189" s="2"/>
      <x:c r="N189" s="2"/>
    </x:row>
  </x:sheetData>
  <x:pageMargins left="0.7" right="0.7" top="0.75" bottom="0.75" header="0.3" footer="0.3"/>
  <x:tableParts count="1">
    <x:tablePart xmlns:r="http://schemas.openxmlformats.org/officeDocument/2006/relationships" r:id="R05f5b05f16734738"/>
  </x:tableParts>
</x:worksheet>
</file>